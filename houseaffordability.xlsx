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ndy Setser\SLV\New folder\"/>
    </mc:Choice>
  </mc:AlternateContent>
  <xr:revisionPtr revIDLastSave="0" documentId="8_{D5CA102A-0608-494C-A457-ABDFC758F75F}" xr6:coauthVersionLast="47" xr6:coauthVersionMax="47" xr10:uidLastSave="{00000000-0000-0000-0000-000000000000}"/>
  <bookViews>
    <workbookView xWindow="-120" yWindow="-120" windowWidth="29040" windowHeight="15720" activeTab="5" xr2:uid="{A0899B62-A2C1-4FA5-A283-066F9C9A6CE8}"/>
  </bookViews>
  <sheets>
    <sheet name="README" sheetId="1" r:id="rId1"/>
    <sheet name="DATA_DICTIONARY" sheetId="2" r:id="rId2"/>
    <sheet name="Raw Series" sheetId="3" r:id="rId3"/>
    <sheet name="Transformed Series" sheetId="4" r:id="rId4"/>
    <sheet name="Indices" sheetId="5" r:id="rId5"/>
    <sheet name="Dash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B10" i="6"/>
  <c r="D7" i="6"/>
  <c r="B7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2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3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3" i="5"/>
  <c r="B2" i="5"/>
  <c r="A40" i="5"/>
  <c r="A41" i="5"/>
  <c r="A35" i="5"/>
  <c r="A36" i="5"/>
  <c r="A37" i="5"/>
  <c r="A38" i="5"/>
  <c r="A39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" i="5"/>
  <c r="A4" i="5"/>
  <c r="A5" i="5"/>
  <c r="A6" i="5"/>
  <c r="A7" i="5"/>
  <c r="A8" i="5"/>
  <c r="A9" i="5"/>
  <c r="A10" i="5"/>
  <c r="A11" i="5"/>
  <c r="A12" i="5"/>
  <c r="A13" i="5"/>
  <c r="A14" i="5"/>
  <c r="A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2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2" i="4"/>
  <c r="A11" i="1"/>
  <c r="A12" i="1"/>
</calcChain>
</file>

<file path=xl/sharedStrings.xml><?xml version="1.0" encoding="utf-8"?>
<sst xmlns="http://schemas.openxmlformats.org/spreadsheetml/2006/main" count="73" uniqueCount="63">
  <si>
    <t>Title:</t>
  </si>
  <si>
    <t>U.S. Housing Affordability and Macroeconomic Pressure (1985–2025)</t>
  </si>
  <si>
    <t>Research Question:</t>
  </si>
  <si>
    <t>How has housing affordability evolved relative to income, inflation, and interest rates?</t>
  </si>
  <si>
    <t>Core Hypothesis:</t>
  </si>
  <si>
    <t>Housing prices have decoupled from income growth due to structural supply constraints and monetary conditions.</t>
  </si>
  <si>
    <t>Data Sources:</t>
  </si>
  <si>
    <t>Methodology:</t>
  </si>
  <si>
    <t>- All series annualized</t>
  </si>
  <si>
    <t>- Indexed to base year (1985 = 100)</t>
  </si>
  <si>
    <t>- Constructed affordability metrics:</t>
  </si>
  <si>
    <t xml:space="preserve">  • Price-to-Income Ratio</t>
  </si>
  <si>
    <t xml:space="preserve">  • Real Housing Index (CPI-adjusted)</t>
  </si>
  <si>
    <t xml:space="preserve">  • Mortgage-Adjusted Affordability Pressure Index</t>
  </si>
  <si>
    <t>Author:</t>
  </si>
  <si>
    <t>Andy Setser</t>
  </si>
  <si>
    <t>Variable</t>
  </si>
  <si>
    <t>Definition</t>
  </si>
  <si>
    <t>Source</t>
  </si>
  <si>
    <t>Type</t>
  </si>
  <si>
    <t>Home Price</t>
  </si>
  <si>
    <t>Median US home sale price</t>
  </si>
  <si>
    <t>Census</t>
  </si>
  <si>
    <t>Level</t>
  </si>
  <si>
    <t>Income</t>
  </si>
  <si>
    <t>Median household income</t>
  </si>
  <si>
    <t>CPI</t>
  </si>
  <si>
    <t>Consumer Price Index</t>
  </si>
  <si>
    <t>BLS</t>
  </si>
  <si>
    <t>Price Index</t>
  </si>
  <si>
    <t>Mortgage Rate</t>
  </si>
  <si>
    <t>30-year fixed rate</t>
  </si>
  <si>
    <t>FRED</t>
  </si>
  <si>
    <t>Interest rate</t>
  </si>
  <si>
    <t>Year</t>
  </si>
  <si>
    <t>Median Home Price</t>
  </si>
  <si>
    <t>Median Income</t>
  </si>
  <si>
    <t>CPI Index</t>
  </si>
  <si>
    <t>https://fred.stlouisfed.org/series/MSPUS</t>
  </si>
  <si>
    <t>Median annual home price estimate representing typical U.S. housing transaction values. Used as nominal housing cost measure in affordability calculations.</t>
  </si>
  <si>
    <t>Median household income representing central tendency of U.S. earnings distribution. Used as primary measure of purchasing power in affordability analysis.</t>
  </si>
  <si>
    <t>Consumer Price Index for All Urban Consumers (CPI-U), used as a general measure of price level changes over time. Serves as deflator for real housing price construction.</t>
  </si>
  <si>
    <t>30-year fixed mortgage rate representing average borrowing cost in U.S. housing finance markets. Used as proxy for credit conditions affecting affordability.</t>
  </si>
  <si>
    <t>Annual time index used to align macroeconomic series into consistent yearly observations.</t>
  </si>
  <si>
    <t>Price/Income</t>
  </si>
  <si>
    <t>Real Home Price (CPI Adjusted)</t>
  </si>
  <si>
    <t>Home price YoY%</t>
  </si>
  <si>
    <t>Income YoY%</t>
  </si>
  <si>
    <t>Log(Home Price)</t>
  </si>
  <si>
    <t>Log(Income)</t>
  </si>
  <si>
    <t>Affordability Index (1985=100)</t>
  </si>
  <si>
    <t>Rate Pressure Index</t>
  </si>
  <si>
    <t>Income Index</t>
  </si>
  <si>
    <t>Home Price Index</t>
  </si>
  <si>
    <t>Affordability Gap Index</t>
  </si>
  <si>
    <t>Real Price Index (CPI Adjusted)</t>
  </si>
  <si>
    <t>U.S. Housing Affordability Dashboard (1985-2024)</t>
  </si>
  <si>
    <t>Indexed analysis of home prices, income, and affordability divergence</t>
  </si>
  <si>
    <t>1985-2024</t>
  </si>
  <si>
    <t xml:space="preserve">Home Price Growth </t>
  </si>
  <si>
    <t>Income Growth</t>
  </si>
  <si>
    <t>Affordability Gap Index (Base 1985 = 100)</t>
  </si>
  <si>
    <r>
      <rPr>
        <b/>
        <sz val="11"/>
        <color theme="1"/>
        <rFont val="Aptos Narrow"/>
        <family val="2"/>
        <scheme val="minor"/>
      </rPr>
      <t>KEY INTERPRETATION</t>
    </r>
    <r>
      <rPr>
        <sz val="11"/>
        <color theme="1"/>
        <rFont val="Aptos Narrow"/>
        <family val="2"/>
        <scheme val="minor"/>
      </rPr>
      <t xml:space="preserve">
Housing prices have increased at a structurally faster rate than income since 1985, resulting in a persistent widening of the affordability gap. This divergence is not fully explained by inflation, as real housing price indices also show sustained upward pressure.
The data suggests a structural imbalance between housing supply and demand conditions rather than a short-run cyclical fluctuation.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</si>
</sst>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0.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5E3F"/>
      <name val="Ariel"/>
    </font>
    <font>
      <i/>
      <sz val="11"/>
      <color rgb="FF666666"/>
      <name val="Arial"/>
      <family val="2"/>
    </font>
    <font>
      <b/>
      <sz val="10"/>
      <color theme="1" tint="0.34998626667073579"/>
      <name val="Aptos Narrow"/>
      <family val="2"/>
      <scheme val="minor"/>
    </font>
    <font>
      <b/>
      <sz val="16"/>
      <color theme="9"/>
      <name val="Aptos Narrow"/>
      <family val="2"/>
      <scheme val="minor"/>
    </font>
    <font>
      <b/>
      <sz val="16"/>
      <color theme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3" fontId="0" fillId="0" borderId="0" xfId="1" applyFont="1"/>
    <xf numFmtId="169" fontId="0" fillId="0" borderId="0" xfId="0" applyNumberFormat="1"/>
    <xf numFmtId="0" fontId="0" fillId="0" borderId="0" xfId="0"/>
    <xf numFmtId="2" fontId="0" fillId="0" borderId="0" xfId="0" applyNumberFormat="1"/>
    <xf numFmtId="43" fontId="0" fillId="0" borderId="0" xfId="0" applyNumberFormat="1"/>
    <xf numFmtId="10" fontId="0" fillId="0" borderId="0" xfId="2" applyNumberFormat="1" applyFo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0" fontId="6" fillId="2" borderId="6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0" fontId="6" fillId="2" borderId="9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0" fontId="7" fillId="2" borderId="12" xfId="2" applyNumberFormat="1" applyFont="1" applyFill="1" applyBorder="1" applyAlignment="1">
      <alignment horizontal="center"/>
    </xf>
    <xf numFmtId="10" fontId="7" fillId="2" borderId="13" xfId="2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vertical="top" wrapText="1"/>
    </xf>
    <xf numFmtId="0" fontId="0" fillId="2" borderId="8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9" xfId="0" applyFill="1" applyBorder="1" applyAlignment="1">
      <alignment vertical="top"/>
    </xf>
    <xf numFmtId="0" fontId="0" fillId="2" borderId="7" xfId="0" applyFill="1" applyBorder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5F5F5"/>
      <color rgb="FF666666"/>
      <color rgb="FF1F5E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 Price vs</a:t>
            </a:r>
            <a:r>
              <a:rPr lang="en-US" baseline="0"/>
              <a:t> Income (Indexed)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Indices!$B$1</c:f>
              <c:strCache>
                <c:ptCount val="1"/>
                <c:pt idx="0">
                  <c:v>Income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Indices!$A$2:$A$41</c:f>
              <c:numCache>
                <c:formatCode>General</c:formatCode>
                <c:ptCount val="4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cat>
          <c:val>
            <c:numRef>
              <c:f>Indices!$B$2:$B$41</c:f>
              <c:numCache>
                <c:formatCode>General</c:formatCode>
                <c:ptCount val="40"/>
                <c:pt idx="0">
                  <c:v>100</c:v>
                </c:pt>
                <c:pt idx="1">
                  <c:v>103.70310216014293</c:v>
                </c:pt>
                <c:pt idx="2">
                  <c:v>105.00243625142114</c:v>
                </c:pt>
                <c:pt idx="3">
                  <c:v>105.78203670618808</c:v>
                </c:pt>
                <c:pt idx="4">
                  <c:v>107.5848627578366</c:v>
                </c:pt>
                <c:pt idx="5">
                  <c:v>106.28552866655838</c:v>
                </c:pt>
                <c:pt idx="6">
                  <c:v>103.18336852363163</c:v>
                </c:pt>
                <c:pt idx="7">
                  <c:v>102.33880136430081</c:v>
                </c:pt>
                <c:pt idx="8">
                  <c:v>101.83530940393048</c:v>
                </c:pt>
                <c:pt idx="9">
                  <c:v>102.92350170537598</c:v>
                </c:pt>
                <c:pt idx="10">
                  <c:v>106.18807860971253</c:v>
                </c:pt>
                <c:pt idx="11">
                  <c:v>107.74727951924639</c:v>
                </c:pt>
                <c:pt idx="12">
                  <c:v>109.98863082670131</c:v>
                </c:pt>
                <c:pt idx="13">
                  <c:v>114.0165665096638</c:v>
                </c:pt>
                <c:pt idx="14">
                  <c:v>116.90758486275783</c:v>
                </c:pt>
                <c:pt idx="15">
                  <c:v>116.59899301607925</c:v>
                </c:pt>
                <c:pt idx="16">
                  <c:v>114.68247523144387</c:v>
                </c:pt>
                <c:pt idx="17">
                  <c:v>113.75669969140816</c:v>
                </c:pt>
                <c:pt idx="18">
                  <c:v>113.82166639597206</c:v>
                </c:pt>
                <c:pt idx="19">
                  <c:v>113.64300795842131</c:v>
                </c:pt>
                <c:pt idx="20">
                  <c:v>115.41335065778789</c:v>
                </c:pt>
                <c:pt idx="21">
                  <c:v>116.69644307292512</c:v>
                </c:pt>
                <c:pt idx="22">
                  <c:v>118.58047750527854</c:v>
                </c:pt>
                <c:pt idx="23">
                  <c:v>114.53630014617508</c:v>
                </c:pt>
                <c:pt idx="24">
                  <c:v>113.80542471983108</c:v>
                </c:pt>
                <c:pt idx="25">
                  <c:v>111.12554815656976</c:v>
                </c:pt>
                <c:pt idx="26">
                  <c:v>109.485138866331</c:v>
                </c:pt>
                <c:pt idx="27">
                  <c:v>109.46889719019002</c:v>
                </c:pt>
                <c:pt idx="28">
                  <c:v>113.61052460613936</c:v>
                </c:pt>
                <c:pt idx="29">
                  <c:v>112.16501542959234</c:v>
                </c:pt>
                <c:pt idx="30">
                  <c:v>118.22316063017703</c:v>
                </c:pt>
                <c:pt idx="31">
                  <c:v>122.42975475069026</c:v>
                </c:pt>
                <c:pt idx="32">
                  <c:v>124.58989767744031</c:v>
                </c:pt>
                <c:pt idx="33">
                  <c:v>126.19782361539711</c:v>
                </c:pt>
                <c:pt idx="34">
                  <c:v>135.22819554978074</c:v>
                </c:pt>
                <c:pt idx="35">
                  <c:v>132.49959395809648</c:v>
                </c:pt>
                <c:pt idx="36">
                  <c:v>131.99610199772616</c:v>
                </c:pt>
                <c:pt idx="37">
                  <c:v>129.12132532077308</c:v>
                </c:pt>
                <c:pt idx="38">
                  <c:v>134.30242000974502</c:v>
                </c:pt>
                <c:pt idx="39">
                  <c:v>135.99155432840669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60-4C8E-9DE1-DB933B6284B4}"/>
            </c:ext>
          </c:extLst>
        </c:ser>
        <c:ser>
          <c:idx val="2"/>
          <c:order val="2"/>
          <c:tx>
            <c:strRef>
              <c:f>Indices!$C$1</c:f>
              <c:strCache>
                <c:ptCount val="1"/>
                <c:pt idx="0">
                  <c:v>Home Price 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Indices!$A$2:$A$41</c:f>
              <c:numCache>
                <c:formatCode>General</c:formatCode>
                <c:ptCount val="4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cat>
          <c:val>
            <c:numRef>
              <c:f>Indices!$C$2:$C$41</c:f>
              <c:numCache>
                <c:formatCode>General</c:formatCode>
                <c:ptCount val="40"/>
                <c:pt idx="0">
                  <c:v>100</c:v>
                </c:pt>
                <c:pt idx="1">
                  <c:v>109.19608424799763</c:v>
                </c:pt>
                <c:pt idx="2">
                  <c:v>124.23613171165826</c:v>
                </c:pt>
                <c:pt idx="3">
                  <c:v>133.16523286858498</c:v>
                </c:pt>
                <c:pt idx="4">
                  <c:v>142.89528329872439</c:v>
                </c:pt>
                <c:pt idx="5">
                  <c:v>145.1201423909819</c:v>
                </c:pt>
                <c:pt idx="6">
                  <c:v>142.36131711658263</c:v>
                </c:pt>
                <c:pt idx="7">
                  <c:v>144.02254523880154</c:v>
                </c:pt>
                <c:pt idx="8">
                  <c:v>150.1038267576387</c:v>
                </c:pt>
                <c:pt idx="9">
                  <c:v>154.76119845743105</c:v>
                </c:pt>
                <c:pt idx="10">
                  <c:v>158.38030258083654</c:v>
                </c:pt>
                <c:pt idx="11">
                  <c:v>166.41946010086028</c:v>
                </c:pt>
                <c:pt idx="12">
                  <c:v>172.05576980124593</c:v>
                </c:pt>
                <c:pt idx="13">
                  <c:v>180.27291604865025</c:v>
                </c:pt>
                <c:pt idx="14">
                  <c:v>190.00296647878966</c:v>
                </c:pt>
                <c:pt idx="15">
                  <c:v>198.81340848412933</c:v>
                </c:pt>
                <c:pt idx="16">
                  <c:v>205.39899139721149</c:v>
                </c:pt>
                <c:pt idx="17">
                  <c:v>220.73568673983982</c:v>
                </c:pt>
                <c:pt idx="18">
                  <c:v>227.97389498665086</c:v>
                </c:pt>
                <c:pt idx="19">
                  <c:v>258.85493918718481</c:v>
                </c:pt>
                <c:pt idx="20">
                  <c:v>280.68822307920499</c:v>
                </c:pt>
                <c:pt idx="21">
                  <c:v>289.23168199347373</c:v>
                </c:pt>
                <c:pt idx="22">
                  <c:v>290.65559181251854</c:v>
                </c:pt>
                <c:pt idx="23">
                  <c:v>272.38208246811035</c:v>
                </c:pt>
                <c:pt idx="24">
                  <c:v>255.88846039750814</c:v>
                </c:pt>
                <c:pt idx="25">
                  <c:v>264.2539305843963</c:v>
                </c:pt>
                <c:pt idx="26">
                  <c:v>266.86443191931176</c:v>
                </c:pt>
                <c:pt idx="27">
                  <c:v>290.00296647878969</c:v>
                </c:pt>
                <c:pt idx="28">
                  <c:v>315.90032631266689</c:v>
                </c:pt>
                <c:pt idx="29">
                  <c:v>339.09819044793829</c:v>
                </c:pt>
                <c:pt idx="30">
                  <c:v>349.03589439335508</c:v>
                </c:pt>
                <c:pt idx="31">
                  <c:v>362.05873628003559</c:v>
                </c:pt>
                <c:pt idx="32">
                  <c:v>382.58676950459807</c:v>
                </c:pt>
                <c:pt idx="33">
                  <c:v>385.96855532482942</c:v>
                </c:pt>
                <c:pt idx="34">
                  <c:v>380.00593295757932</c:v>
                </c:pt>
                <c:pt idx="35">
                  <c:v>389.38000593295754</c:v>
                </c:pt>
                <c:pt idx="36">
                  <c:v>454.46455057846339</c:v>
                </c:pt>
                <c:pt idx="37">
                  <c:v>513.73479679620289</c:v>
                </c:pt>
                <c:pt idx="38">
                  <c:v>506.11094630673392</c:v>
                </c:pt>
                <c:pt idx="39">
                  <c:v>497.15218036191038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0-4C8E-9DE1-DB933B628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582416"/>
        <c:axId val="7035934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Indices!$A$1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Indices!$A$2:$A$41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1985</c:v>
                      </c:pt>
                      <c:pt idx="1">
                        <c:v>1986</c:v>
                      </c:pt>
                      <c:pt idx="2">
                        <c:v>1987</c:v>
                      </c:pt>
                      <c:pt idx="3">
                        <c:v>1988</c:v>
                      </c:pt>
                      <c:pt idx="4">
                        <c:v>1989</c:v>
                      </c:pt>
                      <c:pt idx="5">
                        <c:v>1990</c:v>
                      </c:pt>
                      <c:pt idx="6">
                        <c:v>1991</c:v>
                      </c:pt>
                      <c:pt idx="7">
                        <c:v>1992</c:v>
                      </c:pt>
                      <c:pt idx="8">
                        <c:v>1993</c:v>
                      </c:pt>
                      <c:pt idx="9">
                        <c:v>1994</c:v>
                      </c:pt>
                      <c:pt idx="10">
                        <c:v>1995</c:v>
                      </c:pt>
                      <c:pt idx="11">
                        <c:v>1996</c:v>
                      </c:pt>
                      <c:pt idx="12">
                        <c:v>1997</c:v>
                      </c:pt>
                      <c:pt idx="13">
                        <c:v>1998</c:v>
                      </c:pt>
                      <c:pt idx="14">
                        <c:v>1999</c:v>
                      </c:pt>
                      <c:pt idx="15">
                        <c:v>2000</c:v>
                      </c:pt>
                      <c:pt idx="16">
                        <c:v>2001</c:v>
                      </c:pt>
                      <c:pt idx="17">
                        <c:v>2002</c:v>
                      </c:pt>
                      <c:pt idx="18">
                        <c:v>2003</c:v>
                      </c:pt>
                      <c:pt idx="19">
                        <c:v>2004</c:v>
                      </c:pt>
                      <c:pt idx="20">
                        <c:v>2005</c:v>
                      </c:pt>
                      <c:pt idx="21">
                        <c:v>2006</c:v>
                      </c:pt>
                      <c:pt idx="22">
                        <c:v>2007</c:v>
                      </c:pt>
                      <c:pt idx="23">
                        <c:v>2008</c:v>
                      </c:pt>
                      <c:pt idx="24">
                        <c:v>2009</c:v>
                      </c:pt>
                      <c:pt idx="25">
                        <c:v>2010</c:v>
                      </c:pt>
                      <c:pt idx="26">
                        <c:v>2011</c:v>
                      </c:pt>
                      <c:pt idx="27">
                        <c:v>2012</c:v>
                      </c:pt>
                      <c:pt idx="28">
                        <c:v>2013</c:v>
                      </c:pt>
                      <c:pt idx="29">
                        <c:v>2014</c:v>
                      </c:pt>
                      <c:pt idx="30">
                        <c:v>2015</c:v>
                      </c:pt>
                      <c:pt idx="31">
                        <c:v>2016</c:v>
                      </c:pt>
                      <c:pt idx="32">
                        <c:v>2017</c:v>
                      </c:pt>
                      <c:pt idx="33">
                        <c:v>2018</c:v>
                      </c:pt>
                      <c:pt idx="34">
                        <c:v>2019</c:v>
                      </c:pt>
                      <c:pt idx="35">
                        <c:v>2020</c:v>
                      </c:pt>
                      <c:pt idx="36">
                        <c:v>2021</c:v>
                      </c:pt>
                      <c:pt idx="37">
                        <c:v>2022</c:v>
                      </c:pt>
                      <c:pt idx="38">
                        <c:v>2023</c:v>
                      </c:pt>
                      <c:pt idx="39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Indices!$A$2:$A$41</c15:sqref>
                        </c15:formulaRef>
                      </c:ext>
                    </c:extLst>
                    <c:numCache>
                      <c:formatCode>General</c:formatCode>
                      <c:ptCount val="40"/>
                      <c:pt idx="0">
                        <c:v>1985</c:v>
                      </c:pt>
                      <c:pt idx="1">
                        <c:v>1986</c:v>
                      </c:pt>
                      <c:pt idx="2">
                        <c:v>1987</c:v>
                      </c:pt>
                      <c:pt idx="3">
                        <c:v>1988</c:v>
                      </c:pt>
                      <c:pt idx="4">
                        <c:v>1989</c:v>
                      </c:pt>
                      <c:pt idx="5">
                        <c:v>1990</c:v>
                      </c:pt>
                      <c:pt idx="6">
                        <c:v>1991</c:v>
                      </c:pt>
                      <c:pt idx="7">
                        <c:v>1992</c:v>
                      </c:pt>
                      <c:pt idx="8">
                        <c:v>1993</c:v>
                      </c:pt>
                      <c:pt idx="9">
                        <c:v>1994</c:v>
                      </c:pt>
                      <c:pt idx="10">
                        <c:v>1995</c:v>
                      </c:pt>
                      <c:pt idx="11">
                        <c:v>1996</c:v>
                      </c:pt>
                      <c:pt idx="12">
                        <c:v>1997</c:v>
                      </c:pt>
                      <c:pt idx="13">
                        <c:v>1998</c:v>
                      </c:pt>
                      <c:pt idx="14">
                        <c:v>1999</c:v>
                      </c:pt>
                      <c:pt idx="15">
                        <c:v>2000</c:v>
                      </c:pt>
                      <c:pt idx="16">
                        <c:v>2001</c:v>
                      </c:pt>
                      <c:pt idx="17">
                        <c:v>2002</c:v>
                      </c:pt>
                      <c:pt idx="18">
                        <c:v>2003</c:v>
                      </c:pt>
                      <c:pt idx="19">
                        <c:v>2004</c:v>
                      </c:pt>
                      <c:pt idx="20">
                        <c:v>2005</c:v>
                      </c:pt>
                      <c:pt idx="21">
                        <c:v>2006</c:v>
                      </c:pt>
                      <c:pt idx="22">
                        <c:v>2007</c:v>
                      </c:pt>
                      <c:pt idx="23">
                        <c:v>2008</c:v>
                      </c:pt>
                      <c:pt idx="24">
                        <c:v>2009</c:v>
                      </c:pt>
                      <c:pt idx="25">
                        <c:v>2010</c:v>
                      </c:pt>
                      <c:pt idx="26">
                        <c:v>2011</c:v>
                      </c:pt>
                      <c:pt idx="27">
                        <c:v>2012</c:v>
                      </c:pt>
                      <c:pt idx="28">
                        <c:v>2013</c:v>
                      </c:pt>
                      <c:pt idx="29">
                        <c:v>2014</c:v>
                      </c:pt>
                      <c:pt idx="30">
                        <c:v>2015</c:v>
                      </c:pt>
                      <c:pt idx="31">
                        <c:v>2016</c:v>
                      </c:pt>
                      <c:pt idx="32">
                        <c:v>2017</c:v>
                      </c:pt>
                      <c:pt idx="33">
                        <c:v>2018</c:v>
                      </c:pt>
                      <c:pt idx="34">
                        <c:v>2019</c:v>
                      </c:pt>
                      <c:pt idx="35">
                        <c:v>2020</c:v>
                      </c:pt>
                      <c:pt idx="36">
                        <c:v>2021</c:v>
                      </c:pt>
                      <c:pt idx="37">
                        <c:v>2022</c:v>
                      </c:pt>
                      <c:pt idx="38">
                        <c:v>2023</c:v>
                      </c:pt>
                      <c:pt idx="39">
                        <c:v>2024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660-4C8E-9DE1-DB933B6284B4}"/>
                  </c:ext>
                </c:extLst>
              </c15:ser>
            </c15:filteredLineSeries>
          </c:ext>
        </c:extLst>
      </c:lineChart>
      <c:catAx>
        <c:axId val="70358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93456"/>
        <c:crosses val="autoZero"/>
        <c:auto val="1"/>
        <c:lblAlgn val="ctr"/>
        <c:lblOffset val="100"/>
        <c:noMultiLvlLbl val="0"/>
      </c:catAx>
      <c:valAx>
        <c:axId val="703593456"/>
        <c:scaling>
          <c:orientation val="minMax"/>
          <c:max val="5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Indexed 1995 = 100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824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5F5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4</xdr:col>
      <xdr:colOff>1228725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19A3F-72BD-4A3A-9F95-814DE7022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5D6-DA4F-4C07-8989-1EBEE6D99865}">
  <dimension ref="A1:A24"/>
  <sheetViews>
    <sheetView workbookViewId="0">
      <selection activeCell="A14" sqref="A14"/>
    </sheetView>
  </sheetViews>
  <sheetFormatPr defaultRowHeight="15"/>
  <cols>
    <col min="1" max="1" width="104.28515625" bestFit="1" customWidth="1"/>
  </cols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10" spans="1:1">
      <c r="A10" t="s">
        <v>6</v>
      </c>
    </row>
    <row r="11" spans="1:1">
      <c r="A11" t="str">
        <f>"- U.S. Census Bureau (Income, Housing Prices)"</f>
        <v>- U.S. Census Bureau (Income, Housing Prices)</v>
      </c>
    </row>
    <row r="12" spans="1:1">
      <c r="A12" t="str">
        <f>"- BLS CPI (Inflation)"</f>
        <v>- BLS CPI (Inflation)</v>
      </c>
    </row>
    <row r="13" spans="1:1">
      <c r="A13" t="str">
        <f>"- FRED Mortgage Rates"</f>
        <v>- FRED Mortgage Rates</v>
      </c>
    </row>
    <row r="15" spans="1:1">
      <c r="A15" t="s">
        <v>7</v>
      </c>
    </row>
    <row r="16" spans="1:1">
      <c r="A16" t="s">
        <v>8</v>
      </c>
    </row>
    <row r="17" spans="1:1">
      <c r="A17" t="s">
        <v>9</v>
      </c>
    </row>
    <row r="18" spans="1:1">
      <c r="A18" t="s">
        <v>10</v>
      </c>
    </row>
    <row r="19" spans="1:1">
      <c r="A19" t="s">
        <v>11</v>
      </c>
    </row>
    <row r="20" spans="1:1">
      <c r="A20" t="s">
        <v>12</v>
      </c>
    </row>
    <row r="21" spans="1:1">
      <c r="A21" t="s">
        <v>13</v>
      </c>
    </row>
    <row r="23" spans="1:1">
      <c r="A23" t="s">
        <v>14</v>
      </c>
    </row>
    <row r="24" spans="1:1">
      <c r="A2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FC31-C1B9-4DBB-9987-1FC1DDB3C94A}">
  <dimension ref="A1:D5"/>
  <sheetViews>
    <sheetView workbookViewId="0">
      <selection activeCell="B26" sqref="B26"/>
    </sheetView>
  </sheetViews>
  <sheetFormatPr defaultRowHeight="15"/>
  <cols>
    <col min="1" max="1" width="25.85546875" customWidth="1"/>
    <col min="2" max="2" width="15.140625" customWidth="1"/>
    <col min="3" max="3" width="22" customWidth="1"/>
    <col min="4" max="4" width="12.5703125" customWidth="1"/>
  </cols>
  <sheetData>
    <row r="1" spans="1:4">
      <c r="A1" s="3" t="s">
        <v>16</v>
      </c>
      <c r="B1" s="3" t="s">
        <v>17</v>
      </c>
      <c r="C1" s="3" t="s">
        <v>18</v>
      </c>
      <c r="D1" s="3" t="s">
        <v>19</v>
      </c>
    </row>
    <row r="2" spans="1:4" ht="30">
      <c r="A2" s="4" t="s">
        <v>20</v>
      </c>
      <c r="B2" s="4" t="s">
        <v>21</v>
      </c>
      <c r="C2" s="4" t="s">
        <v>22</v>
      </c>
      <c r="D2" s="4" t="s">
        <v>23</v>
      </c>
    </row>
    <row r="3" spans="1:4" ht="45">
      <c r="A3" s="4" t="s">
        <v>24</v>
      </c>
      <c r="B3" s="4" t="s">
        <v>25</v>
      </c>
      <c r="C3" s="4" t="s">
        <v>22</v>
      </c>
      <c r="D3" s="4" t="s">
        <v>23</v>
      </c>
    </row>
    <row r="4" spans="1:4" ht="30">
      <c r="A4" s="4" t="s">
        <v>26</v>
      </c>
      <c r="B4" s="4" t="s">
        <v>27</v>
      </c>
      <c r="C4" s="4" t="s">
        <v>28</v>
      </c>
      <c r="D4" s="4" t="s">
        <v>29</v>
      </c>
    </row>
    <row r="5" spans="1:4" ht="30">
      <c r="A5" s="4" t="s">
        <v>30</v>
      </c>
      <c r="B5" s="4" t="s">
        <v>31</v>
      </c>
      <c r="C5" s="4" t="s">
        <v>32</v>
      </c>
      <c r="D5" s="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BD03-24BD-4DDE-8687-AC34EF1E1E3E}">
  <dimension ref="A1:E45"/>
  <sheetViews>
    <sheetView workbookViewId="0">
      <selection activeCell="M4" sqref="M4"/>
    </sheetView>
  </sheetViews>
  <sheetFormatPr defaultRowHeight="15"/>
  <cols>
    <col min="1" max="1" width="13.140625" bestFit="1" customWidth="1"/>
    <col min="2" max="2" width="20.140625" customWidth="1"/>
    <col min="3" max="3" width="14.28515625" customWidth="1"/>
    <col min="4" max="4" width="16.28515625" customWidth="1"/>
    <col min="5" max="5" width="14.42578125" customWidth="1"/>
  </cols>
  <sheetData>
    <row r="1" spans="1:5" ht="30">
      <c r="A1" s="1" t="s">
        <v>34</v>
      </c>
      <c r="B1" s="1" t="s">
        <v>35</v>
      </c>
      <c r="C1" s="1" t="s">
        <v>36</v>
      </c>
      <c r="D1" s="1" t="s">
        <v>37</v>
      </c>
      <c r="E1" s="1" t="s">
        <v>30</v>
      </c>
    </row>
    <row r="2" spans="1:5" s="7" customFormat="1" ht="225">
      <c r="A2" s="1" t="s">
        <v>43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>
      <c r="A3">
        <v>1985</v>
      </c>
      <c r="B3" s="5">
        <v>84275</v>
      </c>
      <c r="C3" s="5">
        <v>61570</v>
      </c>
      <c r="D3" s="6">
        <v>107.6</v>
      </c>
      <c r="E3" s="8">
        <v>12.43</v>
      </c>
    </row>
    <row r="4" spans="1:5">
      <c r="A4">
        <v>1986</v>
      </c>
      <c r="B4" s="5">
        <v>92025</v>
      </c>
      <c r="C4" s="5">
        <v>63850</v>
      </c>
      <c r="D4" s="6">
        <v>109.69199999999999</v>
      </c>
      <c r="E4" s="8">
        <v>10.19</v>
      </c>
    </row>
    <row r="5" spans="1:5">
      <c r="A5">
        <v>1987</v>
      </c>
      <c r="B5" s="5">
        <v>104700</v>
      </c>
      <c r="C5" s="5">
        <v>64650</v>
      </c>
      <c r="D5" s="6">
        <v>113.617</v>
      </c>
      <c r="E5" s="8">
        <v>10.210000000000001</v>
      </c>
    </row>
    <row r="6" spans="1:5">
      <c r="A6">
        <v>1988</v>
      </c>
      <c r="B6" s="5">
        <v>112225</v>
      </c>
      <c r="C6" s="5">
        <v>65130</v>
      </c>
      <c r="D6" s="6">
        <v>118.27500000000001</v>
      </c>
      <c r="E6" s="8">
        <v>10.34</v>
      </c>
    </row>
    <row r="7" spans="1:5">
      <c r="A7">
        <v>1989</v>
      </c>
      <c r="B7" s="5">
        <v>120425</v>
      </c>
      <c r="C7" s="5">
        <v>66240</v>
      </c>
      <c r="D7" s="6">
        <v>123.94199999999999</v>
      </c>
      <c r="E7" s="8">
        <v>10.32</v>
      </c>
    </row>
    <row r="8" spans="1:5">
      <c r="A8">
        <v>1990</v>
      </c>
      <c r="B8" s="5">
        <v>122300</v>
      </c>
      <c r="C8" s="5">
        <v>65440</v>
      </c>
      <c r="D8" s="6">
        <v>130.65799999999999</v>
      </c>
      <c r="E8" s="8">
        <v>10.130000000000001</v>
      </c>
    </row>
    <row r="9" spans="1:5">
      <c r="A9">
        <v>1991</v>
      </c>
      <c r="B9" s="5">
        <v>119975</v>
      </c>
      <c r="C9" s="5">
        <v>63530</v>
      </c>
      <c r="D9" s="6">
        <v>136.167</v>
      </c>
      <c r="E9" s="8">
        <v>9.25</v>
      </c>
    </row>
    <row r="10" spans="1:5">
      <c r="A10">
        <v>1992</v>
      </c>
      <c r="B10" s="5">
        <v>121375</v>
      </c>
      <c r="C10" s="5">
        <v>63010</v>
      </c>
      <c r="D10" s="6">
        <v>140.30799999999999</v>
      </c>
      <c r="E10" s="8">
        <v>8.39</v>
      </c>
    </row>
    <row r="11" spans="1:5">
      <c r="A11">
        <v>1993</v>
      </c>
      <c r="B11" s="5">
        <v>126500</v>
      </c>
      <c r="C11" s="5">
        <v>62700</v>
      </c>
      <c r="D11" s="6">
        <v>144.47499999999999</v>
      </c>
      <c r="E11" s="8">
        <v>7.31</v>
      </c>
    </row>
    <row r="12" spans="1:5">
      <c r="A12">
        <v>1994</v>
      </c>
      <c r="B12" s="5">
        <v>130425</v>
      </c>
      <c r="C12" s="5">
        <v>63370</v>
      </c>
      <c r="D12" s="6">
        <v>148.22499999999999</v>
      </c>
      <c r="E12" s="8">
        <v>8.3800000000000008</v>
      </c>
    </row>
    <row r="13" spans="1:5">
      <c r="A13">
        <v>1995</v>
      </c>
      <c r="B13" s="5">
        <v>133475</v>
      </c>
      <c r="C13" s="5">
        <v>65380</v>
      </c>
      <c r="D13" s="6">
        <v>152.38300000000001</v>
      </c>
      <c r="E13" s="8">
        <v>7.93</v>
      </c>
    </row>
    <row r="14" spans="1:5">
      <c r="A14">
        <v>1996</v>
      </c>
      <c r="B14" s="5">
        <v>140250</v>
      </c>
      <c r="C14" s="5">
        <v>66340</v>
      </c>
      <c r="D14" s="6">
        <v>156.858</v>
      </c>
      <c r="E14" s="8">
        <v>7.81</v>
      </c>
    </row>
    <row r="15" spans="1:5">
      <c r="A15">
        <v>1997</v>
      </c>
      <c r="B15" s="5">
        <v>145000</v>
      </c>
      <c r="C15" s="5">
        <v>67720</v>
      </c>
      <c r="D15" s="6">
        <v>160.52500000000001</v>
      </c>
      <c r="E15" s="8">
        <v>7.6</v>
      </c>
    </row>
    <row r="16" spans="1:5">
      <c r="A16">
        <v>1998</v>
      </c>
      <c r="B16" s="5">
        <v>151925</v>
      </c>
      <c r="C16" s="5">
        <v>70200</v>
      </c>
      <c r="D16" s="6">
        <v>163.00800000000001</v>
      </c>
      <c r="E16" s="8">
        <v>6.94</v>
      </c>
    </row>
    <row r="17" spans="1:5">
      <c r="A17">
        <v>1999</v>
      </c>
      <c r="B17" s="5">
        <v>160125</v>
      </c>
      <c r="C17" s="5">
        <v>71980</v>
      </c>
      <c r="D17" s="6">
        <v>166.583</v>
      </c>
      <c r="E17" s="8">
        <v>7.44</v>
      </c>
    </row>
    <row r="18" spans="1:5">
      <c r="A18">
        <v>2000</v>
      </c>
      <c r="B18" s="5">
        <v>167550</v>
      </c>
      <c r="C18" s="5">
        <v>71790</v>
      </c>
      <c r="D18" s="6">
        <v>172.19200000000001</v>
      </c>
      <c r="E18" s="8">
        <v>8.0500000000000007</v>
      </c>
    </row>
    <row r="19" spans="1:5">
      <c r="A19">
        <v>2001</v>
      </c>
      <c r="B19" s="5">
        <v>173100</v>
      </c>
      <c r="C19" s="5">
        <v>70610</v>
      </c>
      <c r="D19" s="6">
        <v>177.042</v>
      </c>
      <c r="E19" s="8">
        <v>6.97</v>
      </c>
    </row>
    <row r="20" spans="1:5">
      <c r="A20">
        <v>2002</v>
      </c>
      <c r="B20" s="5">
        <v>186025</v>
      </c>
      <c r="C20" s="5">
        <v>70040</v>
      </c>
      <c r="D20" s="6">
        <v>179.86699999999999</v>
      </c>
      <c r="E20" s="8">
        <v>6.54</v>
      </c>
    </row>
    <row r="21" spans="1:5">
      <c r="A21">
        <v>2003</v>
      </c>
      <c r="B21" s="5">
        <v>192125</v>
      </c>
      <c r="C21" s="5">
        <v>70080</v>
      </c>
      <c r="D21" s="6">
        <v>184</v>
      </c>
      <c r="E21" s="8">
        <v>5.83</v>
      </c>
    </row>
    <row r="22" spans="1:5">
      <c r="A22">
        <v>2004</v>
      </c>
      <c r="B22" s="5">
        <v>218150</v>
      </c>
      <c r="C22" s="5">
        <v>69970</v>
      </c>
      <c r="D22" s="6">
        <v>188.90799999999999</v>
      </c>
      <c r="E22" s="8">
        <v>5.84</v>
      </c>
    </row>
    <row r="23" spans="1:5">
      <c r="A23">
        <v>2005</v>
      </c>
      <c r="B23" s="5">
        <v>236550</v>
      </c>
      <c r="C23" s="5">
        <v>71060</v>
      </c>
      <c r="D23" s="6">
        <v>195.267</v>
      </c>
      <c r="E23" s="8">
        <v>5.87</v>
      </c>
    </row>
    <row r="24" spans="1:5">
      <c r="A24">
        <v>2006</v>
      </c>
      <c r="B24" s="5">
        <v>243750</v>
      </c>
      <c r="C24" s="5">
        <v>71850</v>
      </c>
      <c r="D24" s="6">
        <v>201.55799999999999</v>
      </c>
      <c r="E24" s="8">
        <v>6.41</v>
      </c>
    </row>
    <row r="25" spans="1:5">
      <c r="A25">
        <v>2007</v>
      </c>
      <c r="B25" s="5">
        <v>244950</v>
      </c>
      <c r="C25" s="5">
        <v>73010</v>
      </c>
      <c r="D25" s="6">
        <v>207.34399999999999</v>
      </c>
      <c r="E25" s="8">
        <v>6.34</v>
      </c>
    </row>
    <row r="26" spans="1:5">
      <c r="A26">
        <v>2008</v>
      </c>
      <c r="B26" s="5">
        <v>229550</v>
      </c>
      <c r="C26" s="5">
        <v>70520</v>
      </c>
      <c r="D26" s="6">
        <v>215.25399999999999</v>
      </c>
      <c r="E26" s="8">
        <v>6.03</v>
      </c>
    </row>
    <row r="27" spans="1:5">
      <c r="A27">
        <v>2009</v>
      </c>
      <c r="B27" s="5">
        <v>215650</v>
      </c>
      <c r="C27" s="5">
        <v>70070</v>
      </c>
      <c r="D27" s="6">
        <v>214.565</v>
      </c>
      <c r="E27" s="8">
        <v>5.04</v>
      </c>
    </row>
    <row r="28" spans="1:5">
      <c r="A28">
        <v>2010</v>
      </c>
      <c r="B28" s="5">
        <v>222700</v>
      </c>
      <c r="C28" s="5">
        <v>68420</v>
      </c>
      <c r="D28" s="6">
        <v>218.07599999999999</v>
      </c>
      <c r="E28" s="8">
        <v>4.6900000000000004</v>
      </c>
    </row>
    <row r="29" spans="1:5">
      <c r="A29">
        <v>2011</v>
      </c>
      <c r="B29" s="5">
        <v>224900</v>
      </c>
      <c r="C29" s="5">
        <v>67410</v>
      </c>
      <c r="D29" s="6">
        <v>224.923</v>
      </c>
      <c r="E29" s="8">
        <v>4.45</v>
      </c>
    </row>
    <row r="30" spans="1:5">
      <c r="A30">
        <v>2012</v>
      </c>
      <c r="B30" s="5">
        <v>244400</v>
      </c>
      <c r="C30" s="5">
        <v>67400</v>
      </c>
      <c r="D30" s="6">
        <v>229.58600000000001</v>
      </c>
      <c r="E30" s="8">
        <v>3.66</v>
      </c>
    </row>
    <row r="31" spans="1:5">
      <c r="A31">
        <v>2013</v>
      </c>
      <c r="B31" s="5">
        <v>266225</v>
      </c>
      <c r="C31" s="5">
        <v>69950</v>
      </c>
      <c r="D31" s="6">
        <v>232.952</v>
      </c>
      <c r="E31" s="8">
        <v>3.98</v>
      </c>
    </row>
    <row r="32" spans="1:5">
      <c r="A32">
        <v>2014</v>
      </c>
      <c r="B32" s="5">
        <v>285775</v>
      </c>
      <c r="C32" s="5">
        <v>69060</v>
      </c>
      <c r="D32" s="6">
        <v>236.715</v>
      </c>
      <c r="E32" s="8">
        <v>4.17</v>
      </c>
    </row>
    <row r="33" spans="1:5">
      <c r="A33">
        <v>2015</v>
      </c>
      <c r="B33" s="5">
        <v>294150</v>
      </c>
      <c r="C33" s="5">
        <v>72790</v>
      </c>
      <c r="D33" s="6">
        <v>237.00200000000001</v>
      </c>
      <c r="E33" s="8">
        <v>3.85</v>
      </c>
    </row>
    <row r="34" spans="1:5">
      <c r="A34">
        <v>2016</v>
      </c>
      <c r="B34" s="5">
        <v>305125</v>
      </c>
      <c r="C34" s="5">
        <v>75380</v>
      </c>
      <c r="D34" s="6">
        <v>240.005</v>
      </c>
      <c r="E34" s="8">
        <v>3.65</v>
      </c>
    </row>
    <row r="35" spans="1:5">
      <c r="A35">
        <v>2017</v>
      </c>
      <c r="B35" s="5">
        <v>322425</v>
      </c>
      <c r="C35" s="5">
        <v>76710</v>
      </c>
      <c r="D35" s="6">
        <v>245.12100000000001</v>
      </c>
      <c r="E35" s="8">
        <v>3.99</v>
      </c>
    </row>
    <row r="36" spans="1:5">
      <c r="A36">
        <v>2018</v>
      </c>
      <c r="B36" s="5">
        <v>325275</v>
      </c>
      <c r="C36" s="5">
        <v>77700</v>
      </c>
      <c r="D36" s="6">
        <v>251.1</v>
      </c>
      <c r="E36" s="8">
        <v>4.54</v>
      </c>
    </row>
    <row r="37" spans="1:5">
      <c r="A37">
        <v>2019</v>
      </c>
      <c r="B37" s="5">
        <v>320250</v>
      </c>
      <c r="C37" s="5">
        <v>83260</v>
      </c>
      <c r="D37" s="6">
        <v>255.65299999999999</v>
      </c>
      <c r="E37" s="8">
        <v>3.94</v>
      </c>
    </row>
    <row r="38" spans="1:5">
      <c r="A38">
        <v>2020</v>
      </c>
      <c r="B38" s="5">
        <v>328150</v>
      </c>
      <c r="C38" s="5">
        <v>81580</v>
      </c>
      <c r="D38" s="6">
        <v>258.85599999999999</v>
      </c>
      <c r="E38" s="8">
        <v>3.11</v>
      </c>
    </row>
    <row r="39" spans="1:5">
      <c r="A39">
        <v>2021</v>
      </c>
      <c r="B39" s="5">
        <v>383000</v>
      </c>
      <c r="C39" s="5">
        <v>81270</v>
      </c>
      <c r="D39" s="6">
        <v>270.97300000000001</v>
      </c>
      <c r="E39" s="8">
        <v>2.96</v>
      </c>
    </row>
    <row r="40" spans="1:5">
      <c r="A40">
        <v>2022</v>
      </c>
      <c r="B40" s="5">
        <v>432950</v>
      </c>
      <c r="C40" s="5">
        <v>79500</v>
      </c>
      <c r="D40" s="6">
        <v>292.62599999999998</v>
      </c>
      <c r="E40" s="8">
        <v>5.34</v>
      </c>
    </row>
    <row r="41" spans="1:5">
      <c r="A41">
        <v>2023</v>
      </c>
      <c r="B41" s="5">
        <v>426525</v>
      </c>
      <c r="C41" s="5">
        <v>82690</v>
      </c>
      <c r="D41" s="6">
        <v>304.70299999999997</v>
      </c>
      <c r="E41" s="8">
        <v>6.81</v>
      </c>
    </row>
    <row r="42" spans="1:5">
      <c r="A42">
        <v>2024</v>
      </c>
      <c r="B42" s="5">
        <v>418975</v>
      </c>
      <c r="C42" s="5">
        <v>83730</v>
      </c>
      <c r="D42" s="6">
        <v>313.69799999999998</v>
      </c>
      <c r="E42" s="8">
        <v>6.72</v>
      </c>
    </row>
    <row r="43" spans="1:5">
      <c r="A43">
        <v>2025</v>
      </c>
    </row>
    <row r="45" spans="1:5">
      <c r="B4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62D1-2ED2-4B42-BFC4-D1ECA2EDACDD}">
  <dimension ref="A1:M41"/>
  <sheetViews>
    <sheetView workbookViewId="0">
      <selection activeCell="M2" sqref="M2:M41"/>
    </sheetView>
  </sheetViews>
  <sheetFormatPr defaultRowHeight="15"/>
  <cols>
    <col min="1" max="1" width="17.28515625" customWidth="1"/>
    <col min="2" max="2" width="18.5703125" customWidth="1"/>
    <col min="3" max="3" width="14.5703125" customWidth="1"/>
    <col min="4" max="4" width="12.42578125" customWidth="1"/>
    <col min="5" max="5" width="14.5703125" customWidth="1"/>
    <col min="6" max="6" width="12.7109375" customWidth="1"/>
    <col min="7" max="7" width="15.42578125" bestFit="1" customWidth="1"/>
    <col min="8" max="8" width="16.7109375" customWidth="1"/>
    <col min="9" max="9" width="19.85546875" customWidth="1"/>
    <col min="10" max="10" width="18" customWidth="1"/>
    <col min="11" max="11" width="15.42578125" customWidth="1"/>
    <col min="12" max="12" width="19.42578125" customWidth="1"/>
    <col min="13" max="13" width="16.7109375" customWidth="1"/>
  </cols>
  <sheetData>
    <row r="1" spans="1:13" ht="45">
      <c r="A1" s="1" t="s">
        <v>34</v>
      </c>
      <c r="B1" s="1" t="s">
        <v>35</v>
      </c>
      <c r="C1" s="1" t="s">
        <v>36</v>
      </c>
      <c r="D1" s="1" t="s">
        <v>37</v>
      </c>
      <c r="E1" s="1" t="s">
        <v>30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</row>
    <row r="2" spans="1:13">
      <c r="A2" s="7">
        <v>1985</v>
      </c>
      <c r="B2" s="5">
        <v>84275</v>
      </c>
      <c r="C2" s="5">
        <v>61570</v>
      </c>
      <c r="D2" s="6">
        <v>107.6</v>
      </c>
      <c r="E2" s="8">
        <v>12.43</v>
      </c>
      <c r="F2" s="6">
        <f>B2/C2</f>
        <v>1.3687672567808997</v>
      </c>
      <c r="G2" s="9">
        <f>(B2/D2)*100</f>
        <v>78322.490706319702</v>
      </c>
      <c r="J2">
        <f>LN(B2)</f>
        <v>11.341840540102261</v>
      </c>
      <c r="K2" s="7">
        <f>LN(C2)</f>
        <v>11.027930017905256</v>
      </c>
      <c r="L2">
        <f>(F2/$F$2)*100</f>
        <v>100</v>
      </c>
      <c r="M2">
        <f>E2*F2</f>
        <v>17.013777001786583</v>
      </c>
    </row>
    <row r="3" spans="1:13">
      <c r="A3" s="7">
        <v>1986</v>
      </c>
      <c r="B3" s="5">
        <v>92025</v>
      </c>
      <c r="C3" s="5">
        <v>63850</v>
      </c>
      <c r="D3" s="6">
        <v>109.69199999999999</v>
      </c>
      <c r="E3" s="8">
        <v>10.19</v>
      </c>
      <c r="F3" s="6">
        <f t="shared" ref="F3:F41" si="0">B3/C3</f>
        <v>1.4412685982772122</v>
      </c>
      <c r="G3" s="9">
        <f t="shared" ref="G3:G41" si="1">(B3/D3)*100</f>
        <v>83893.994092550056</v>
      </c>
      <c r="H3" s="10">
        <f>(B3-B2)/B2</f>
        <v>9.1960842479976268E-2</v>
      </c>
      <c r="I3" s="10">
        <f>(C3-C2)/C2</f>
        <v>3.7031021601429265E-2</v>
      </c>
      <c r="J3" s="7">
        <f t="shared" ref="J3:J41" si="2">LN(B3)</f>
        <v>11.429815558247222</v>
      </c>
      <c r="K3" s="7">
        <f t="shared" ref="K3:K41" si="3">LN(C3)</f>
        <v>11.064291861460685</v>
      </c>
      <c r="L3" s="7">
        <f t="shared" ref="L3:L41" si="4">(F3/$F$2)*100</f>
        <v>105.29683488095871</v>
      </c>
      <c r="M3" s="7">
        <f t="shared" ref="M3:M41" si="5">E3*F3</f>
        <v>14.686527016444792</v>
      </c>
    </row>
    <row r="4" spans="1:13">
      <c r="A4" s="7">
        <v>1987</v>
      </c>
      <c r="B4" s="5">
        <v>104700</v>
      </c>
      <c r="C4" s="5">
        <v>64650</v>
      </c>
      <c r="D4" s="6">
        <v>113.617</v>
      </c>
      <c r="E4" s="8">
        <v>10.210000000000001</v>
      </c>
      <c r="F4" s="6">
        <f t="shared" si="0"/>
        <v>1.6194895591647331</v>
      </c>
      <c r="G4" s="9">
        <f t="shared" si="1"/>
        <v>92151.70265013157</v>
      </c>
      <c r="H4" s="10">
        <f t="shared" ref="H4:H41" si="6">(B4-B3)/B3</f>
        <v>0.13773431132844335</v>
      </c>
      <c r="I4" s="10">
        <f t="shared" ref="I4:I41" si="7">(C4-C3)/C3</f>
        <v>1.2529365700861394E-2</v>
      </c>
      <c r="J4" s="7">
        <f t="shared" si="2"/>
        <v>11.558854396858628</v>
      </c>
      <c r="K4" s="7">
        <f t="shared" si="3"/>
        <v>11.076743384200004</v>
      </c>
      <c r="L4" s="7">
        <f t="shared" si="4"/>
        <v>118.31738019314461</v>
      </c>
      <c r="M4" s="7">
        <f t="shared" si="5"/>
        <v>16.534988399071928</v>
      </c>
    </row>
    <row r="5" spans="1:13">
      <c r="A5" s="7">
        <v>1988</v>
      </c>
      <c r="B5" s="5">
        <v>112225</v>
      </c>
      <c r="C5" s="5">
        <v>65130</v>
      </c>
      <c r="D5" s="6">
        <v>118.27500000000001</v>
      </c>
      <c r="E5" s="8">
        <v>10.34</v>
      </c>
      <c r="F5" s="6">
        <f t="shared" si="0"/>
        <v>1.7230922769844925</v>
      </c>
      <c r="G5" s="9">
        <f t="shared" si="1"/>
        <v>94884.802367364187</v>
      </c>
      <c r="H5" s="10">
        <f t="shared" si="6"/>
        <v>7.1872015281757407E-2</v>
      </c>
      <c r="I5" s="10">
        <f t="shared" si="7"/>
        <v>7.4245939675174014E-3</v>
      </c>
      <c r="J5" s="7">
        <f t="shared" si="2"/>
        <v>11.628261063650132</v>
      </c>
      <c r="K5" s="7">
        <f t="shared" si="3"/>
        <v>11.084140551540447</v>
      </c>
      <c r="L5" s="7">
        <f t="shared" si="4"/>
        <v>125.88643309870686</v>
      </c>
      <c r="M5" s="7">
        <f t="shared" si="5"/>
        <v>17.816774144019654</v>
      </c>
    </row>
    <row r="6" spans="1:13">
      <c r="A6" s="7">
        <v>1989</v>
      </c>
      <c r="B6" s="5">
        <v>120425</v>
      </c>
      <c r="C6" s="5">
        <v>66240</v>
      </c>
      <c r="D6" s="6">
        <v>123.94199999999999</v>
      </c>
      <c r="E6" s="8">
        <v>10.32</v>
      </c>
      <c r="F6" s="6">
        <f t="shared" si="0"/>
        <v>1.8180102657004831</v>
      </c>
      <c r="G6" s="9">
        <f t="shared" si="1"/>
        <v>97162.382404673161</v>
      </c>
      <c r="H6" s="10">
        <f t="shared" si="6"/>
        <v>7.3067498329249275E-2</v>
      </c>
      <c r="I6" s="10">
        <f t="shared" si="7"/>
        <v>1.704283740211884E-2</v>
      </c>
      <c r="J6" s="7">
        <f t="shared" si="2"/>
        <v>11.698782431498422</v>
      </c>
      <c r="K6" s="7">
        <f t="shared" si="3"/>
        <v>11.101039789059142</v>
      </c>
      <c r="L6" s="7">
        <f t="shared" si="4"/>
        <v>132.82099324731976</v>
      </c>
      <c r="M6" s="7">
        <f t="shared" si="5"/>
        <v>18.761865942028987</v>
      </c>
    </row>
    <row r="7" spans="1:13">
      <c r="A7" s="7">
        <v>1990</v>
      </c>
      <c r="B7" s="5">
        <v>122300</v>
      </c>
      <c r="C7" s="5">
        <v>65440</v>
      </c>
      <c r="D7" s="6">
        <v>130.65799999999999</v>
      </c>
      <c r="E7" s="8">
        <v>10.130000000000001</v>
      </c>
      <c r="F7" s="6">
        <f t="shared" si="0"/>
        <v>1.8688875305623471</v>
      </c>
      <c r="G7" s="9">
        <f t="shared" si="1"/>
        <v>93603.147147514886</v>
      </c>
      <c r="H7" s="10">
        <f t="shared" si="6"/>
        <v>1.5569856757317833E-2</v>
      </c>
      <c r="I7" s="10">
        <f t="shared" si="7"/>
        <v>-1.2077294685990338E-2</v>
      </c>
      <c r="J7" s="7">
        <f t="shared" si="2"/>
        <v>11.714232321675263</v>
      </c>
      <c r="K7" s="7">
        <f t="shared" si="3"/>
        <v>11.088888971276628</v>
      </c>
      <c r="L7" s="7">
        <f t="shared" si="4"/>
        <v>136.53800683087954</v>
      </c>
      <c r="M7" s="7">
        <f t="shared" si="5"/>
        <v>18.931830684596576</v>
      </c>
    </row>
    <row r="8" spans="1:13">
      <c r="A8" s="7">
        <v>1991</v>
      </c>
      <c r="B8" s="5">
        <v>119975</v>
      </c>
      <c r="C8" s="5">
        <v>63530</v>
      </c>
      <c r="D8" s="6">
        <v>136.167</v>
      </c>
      <c r="E8" s="8">
        <v>9.25</v>
      </c>
      <c r="F8" s="6">
        <f t="shared" si="0"/>
        <v>1.8884778844640326</v>
      </c>
      <c r="G8" s="9">
        <f t="shared" si="1"/>
        <v>88108.719440099288</v>
      </c>
      <c r="H8" s="10">
        <f t="shared" si="6"/>
        <v>-1.9010629599345869E-2</v>
      </c>
      <c r="I8" s="10">
        <f t="shared" si="7"/>
        <v>-2.9187041564792175E-2</v>
      </c>
      <c r="J8" s="7">
        <f t="shared" si="2"/>
        <v>11.695038666726447</v>
      </c>
      <c r="K8" s="7">
        <f t="shared" si="3"/>
        <v>11.059267514260579</v>
      </c>
      <c r="L8" s="7">
        <f t="shared" si="4"/>
        <v>137.96924751877839</v>
      </c>
      <c r="M8" s="7">
        <f t="shared" si="5"/>
        <v>17.468420431292301</v>
      </c>
    </row>
    <row r="9" spans="1:13">
      <c r="A9" s="7">
        <v>1992</v>
      </c>
      <c r="B9" s="5">
        <v>121375</v>
      </c>
      <c r="C9" s="5">
        <v>63010</v>
      </c>
      <c r="D9" s="6">
        <v>140.30799999999999</v>
      </c>
      <c r="E9" s="8">
        <v>8.39</v>
      </c>
      <c r="F9" s="6">
        <f t="shared" si="0"/>
        <v>1.9262815426122837</v>
      </c>
      <c r="G9" s="9">
        <f t="shared" si="1"/>
        <v>86506.1151181686</v>
      </c>
      <c r="H9" s="10">
        <f t="shared" si="6"/>
        <v>1.1669097728693479E-2</v>
      </c>
      <c r="I9" s="10">
        <f t="shared" si="7"/>
        <v>-8.1851093971352113E-3</v>
      </c>
      <c r="J9" s="7">
        <f t="shared" si="2"/>
        <v>11.706640205593626</v>
      </c>
      <c r="K9" s="7">
        <f t="shared" si="3"/>
        <v>11.051048722936102</v>
      </c>
      <c r="L9" s="7">
        <f t="shared" si="4"/>
        <v>140.73112379547709</v>
      </c>
      <c r="M9" s="7">
        <f t="shared" si="5"/>
        <v>16.161502142517062</v>
      </c>
    </row>
    <row r="10" spans="1:13">
      <c r="A10" s="7">
        <v>1993</v>
      </c>
      <c r="B10" s="5">
        <v>126500</v>
      </c>
      <c r="C10" s="5">
        <v>62700</v>
      </c>
      <c r="D10" s="6">
        <v>144.47499999999999</v>
      </c>
      <c r="E10" s="8">
        <v>7.31</v>
      </c>
      <c r="F10" s="6">
        <f t="shared" si="0"/>
        <v>2.0175438596491229</v>
      </c>
      <c r="G10" s="9">
        <f t="shared" si="1"/>
        <v>87558.401107458049</v>
      </c>
      <c r="H10" s="10">
        <f t="shared" si="6"/>
        <v>4.2224510813594233E-2</v>
      </c>
      <c r="I10" s="10">
        <f t="shared" si="7"/>
        <v>-4.9198539914299321E-3</v>
      </c>
      <c r="J10" s="7">
        <f t="shared" si="2"/>
        <v>11.747997587149712</v>
      </c>
      <c r="K10" s="7">
        <f t="shared" si="3"/>
        <v>11.046116726621012</v>
      </c>
      <c r="L10" s="7">
        <f t="shared" si="4"/>
        <v>147.39860627540372</v>
      </c>
      <c r="M10" s="7">
        <f t="shared" si="5"/>
        <v>14.748245614035087</v>
      </c>
    </row>
    <row r="11" spans="1:13">
      <c r="A11" s="7">
        <v>1994</v>
      </c>
      <c r="B11" s="5">
        <v>130425</v>
      </c>
      <c r="C11" s="5">
        <v>63370</v>
      </c>
      <c r="D11" s="6">
        <v>148.22499999999999</v>
      </c>
      <c r="E11" s="8">
        <v>8.3800000000000008</v>
      </c>
      <c r="F11" s="6">
        <f t="shared" si="0"/>
        <v>2.0581505444216508</v>
      </c>
      <c r="G11" s="9">
        <f t="shared" si="1"/>
        <v>87991.229549671101</v>
      </c>
      <c r="H11" s="10">
        <f t="shared" si="6"/>
        <v>3.1027667984189725E-2</v>
      </c>
      <c r="I11" s="10">
        <f t="shared" si="7"/>
        <v>1.0685805422647528E-2</v>
      </c>
      <c r="J11" s="7">
        <f t="shared" si="2"/>
        <v>11.778553627890593</v>
      </c>
      <c r="K11" s="7">
        <f t="shared" si="3"/>
        <v>11.056745842317563</v>
      </c>
      <c r="L11" s="7">
        <f t="shared" si="4"/>
        <v>150.36526730351949</v>
      </c>
      <c r="M11" s="7">
        <f t="shared" si="5"/>
        <v>17.247301562253437</v>
      </c>
    </row>
    <row r="12" spans="1:13">
      <c r="A12" s="7">
        <v>1995</v>
      </c>
      <c r="B12" s="5">
        <v>133475</v>
      </c>
      <c r="C12" s="5">
        <v>65380</v>
      </c>
      <c r="D12" s="6">
        <v>152.38300000000001</v>
      </c>
      <c r="E12" s="8">
        <v>7.93</v>
      </c>
      <c r="F12" s="6">
        <f t="shared" si="0"/>
        <v>2.041526460691343</v>
      </c>
      <c r="G12" s="9">
        <f t="shared" si="1"/>
        <v>87591.791735298553</v>
      </c>
      <c r="H12" s="10">
        <f t="shared" si="6"/>
        <v>2.338508721487445E-2</v>
      </c>
      <c r="I12" s="10">
        <f t="shared" si="7"/>
        <v>3.1718478775445792E-2</v>
      </c>
      <c r="J12" s="7">
        <f t="shared" si="2"/>
        <v>11.801669473368387</v>
      </c>
      <c r="K12" s="7">
        <f t="shared" si="3"/>
        <v>11.087971680278201</v>
      </c>
      <c r="L12" s="7">
        <f t="shared" si="4"/>
        <v>149.15073768586888</v>
      </c>
      <c r="M12" s="7">
        <f t="shared" si="5"/>
        <v>16.18930483328235</v>
      </c>
    </row>
    <row r="13" spans="1:13">
      <c r="A13" s="7">
        <v>1996</v>
      </c>
      <c r="B13" s="5">
        <v>140250</v>
      </c>
      <c r="C13" s="5">
        <v>66340</v>
      </c>
      <c r="D13" s="6">
        <v>156.858</v>
      </c>
      <c r="E13" s="8">
        <v>7.81</v>
      </c>
      <c r="F13" s="6">
        <f t="shared" si="0"/>
        <v>2.1141091347603256</v>
      </c>
      <c r="G13" s="9">
        <f t="shared" si="1"/>
        <v>89412.079715411397</v>
      </c>
      <c r="H13" s="10">
        <f t="shared" si="6"/>
        <v>5.0758569020415811E-2</v>
      </c>
      <c r="I13" s="10">
        <f t="shared" si="7"/>
        <v>1.4683389415723462E-2</v>
      </c>
      <c r="J13" s="7">
        <f t="shared" si="2"/>
        <v>11.851181823384943</v>
      </c>
      <c r="K13" s="7">
        <f t="shared" si="3"/>
        <v>11.102548312501044</v>
      </c>
      <c r="L13" s="7">
        <f t="shared" si="4"/>
        <v>154.45351459767812</v>
      </c>
      <c r="M13" s="7">
        <f t="shared" si="5"/>
        <v>16.511192342478143</v>
      </c>
    </row>
    <row r="14" spans="1:13">
      <c r="A14" s="7">
        <v>1997</v>
      </c>
      <c r="B14" s="5">
        <v>145000</v>
      </c>
      <c r="C14" s="5">
        <v>67720</v>
      </c>
      <c r="D14" s="6">
        <v>160.52500000000001</v>
      </c>
      <c r="E14" s="8">
        <v>7.6</v>
      </c>
      <c r="F14" s="6">
        <f t="shared" si="0"/>
        <v>2.141169521559362</v>
      </c>
      <c r="G14" s="9">
        <f t="shared" si="1"/>
        <v>90328.609250895504</v>
      </c>
      <c r="H14" s="10">
        <f t="shared" si="6"/>
        <v>3.3868092691622102E-2</v>
      </c>
      <c r="I14" s="10">
        <f t="shared" si="7"/>
        <v>2.0801929454326198E-2</v>
      </c>
      <c r="J14" s="7">
        <f t="shared" si="2"/>
        <v>11.884489021402711</v>
      </c>
      <c r="K14" s="7">
        <f t="shared" si="3"/>
        <v>11.123136836247072</v>
      </c>
      <c r="L14" s="7">
        <f t="shared" si="4"/>
        <v>156.43050423305834</v>
      </c>
      <c r="M14" s="7">
        <f t="shared" si="5"/>
        <v>16.272888363851152</v>
      </c>
    </row>
    <row r="15" spans="1:13">
      <c r="A15" s="7">
        <v>1998</v>
      </c>
      <c r="B15" s="5">
        <v>151925</v>
      </c>
      <c r="C15" s="5">
        <v>70200</v>
      </c>
      <c r="D15" s="6">
        <v>163.00800000000001</v>
      </c>
      <c r="E15" s="8">
        <v>6.94</v>
      </c>
      <c r="F15" s="6">
        <f t="shared" si="0"/>
        <v>2.1641737891737893</v>
      </c>
      <c r="G15" s="9">
        <f t="shared" si="1"/>
        <v>93200.947192775813</v>
      </c>
      <c r="H15" s="10">
        <f t="shared" si="6"/>
        <v>4.7758620689655175E-2</v>
      </c>
      <c r="I15" s="10">
        <f t="shared" si="7"/>
        <v>3.662138216184288E-2</v>
      </c>
      <c r="J15" s="7">
        <f t="shared" si="2"/>
        <v>11.931142257003556</v>
      </c>
      <c r="K15" s="7">
        <f t="shared" si="3"/>
        <v>11.159103590013903</v>
      </c>
      <c r="L15" s="7">
        <f t="shared" si="4"/>
        <v>158.11116012984897</v>
      </c>
      <c r="M15" s="7">
        <f t="shared" si="5"/>
        <v>15.019366096866099</v>
      </c>
    </row>
    <row r="16" spans="1:13">
      <c r="A16" s="7">
        <v>1999</v>
      </c>
      <c r="B16" s="5">
        <v>160125</v>
      </c>
      <c r="C16" s="5">
        <v>71980</v>
      </c>
      <c r="D16" s="6">
        <v>166.583</v>
      </c>
      <c r="E16" s="8">
        <v>7.44</v>
      </c>
      <c r="F16" s="6">
        <f t="shared" si="0"/>
        <v>2.2245762711864407</v>
      </c>
      <c r="G16" s="9">
        <f t="shared" si="1"/>
        <v>96123.253873444468</v>
      </c>
      <c r="H16" s="10">
        <f t="shared" si="6"/>
        <v>5.3974000329109761E-2</v>
      </c>
      <c r="I16" s="10">
        <f t="shared" si="7"/>
        <v>2.5356125356125355E-2</v>
      </c>
      <c r="J16" s="7">
        <f t="shared" si="2"/>
        <v>11.983710039199035</v>
      </c>
      <c r="K16" s="7">
        <f t="shared" si="3"/>
        <v>11.184143581633021</v>
      </c>
      <c r="L16" s="7">
        <f t="shared" si="4"/>
        <v>162.52407121560267</v>
      </c>
      <c r="M16" s="7">
        <f t="shared" si="5"/>
        <v>16.550847457627121</v>
      </c>
    </row>
    <row r="17" spans="1:13">
      <c r="A17" s="7">
        <v>2000</v>
      </c>
      <c r="B17" s="5">
        <v>167550</v>
      </c>
      <c r="C17" s="5">
        <v>71790</v>
      </c>
      <c r="D17" s="6">
        <v>172.19200000000001</v>
      </c>
      <c r="E17" s="8">
        <v>8.0500000000000007</v>
      </c>
      <c r="F17" s="6">
        <f t="shared" si="0"/>
        <v>2.3338905139991644</v>
      </c>
      <c r="G17" s="9">
        <f t="shared" si="1"/>
        <v>97304.172086972671</v>
      </c>
      <c r="H17" s="10">
        <f t="shared" si="6"/>
        <v>4.6370023419203744E-2</v>
      </c>
      <c r="I17" s="10">
        <f t="shared" si="7"/>
        <v>-2.639622117254793E-3</v>
      </c>
      <c r="J17" s="7">
        <f t="shared" si="2"/>
        <v>12.029037093165456</v>
      </c>
      <c r="K17" s="7">
        <f t="shared" si="3"/>
        <v>11.181500469570528</v>
      </c>
      <c r="L17" s="7">
        <f t="shared" si="4"/>
        <v>170.51039922507096</v>
      </c>
      <c r="M17" s="7">
        <f t="shared" si="5"/>
        <v>18.787818637693274</v>
      </c>
    </row>
    <row r="18" spans="1:13">
      <c r="A18" s="7">
        <v>2001</v>
      </c>
      <c r="B18" s="5">
        <v>173100</v>
      </c>
      <c r="C18" s="5">
        <v>70610</v>
      </c>
      <c r="D18" s="6">
        <v>177.042</v>
      </c>
      <c r="E18" s="8">
        <v>6.97</v>
      </c>
      <c r="F18" s="6">
        <f t="shared" si="0"/>
        <v>2.4514941226455176</v>
      </c>
      <c r="G18" s="9">
        <f t="shared" si="1"/>
        <v>97773.409699393364</v>
      </c>
      <c r="H18" s="10">
        <f t="shared" si="6"/>
        <v>3.312444046553268E-2</v>
      </c>
      <c r="I18" s="10">
        <f t="shared" si="7"/>
        <v>-1.6436829642011423E-2</v>
      </c>
      <c r="J18" s="7">
        <f t="shared" si="2"/>
        <v>12.0616247411643</v>
      </c>
      <c r="K18" s="7">
        <f t="shared" si="3"/>
        <v>11.164927056510393</v>
      </c>
      <c r="L18" s="7">
        <f t="shared" si="4"/>
        <v>179.10233536788434</v>
      </c>
      <c r="M18" s="7">
        <f t="shared" si="5"/>
        <v>17.086914034839257</v>
      </c>
    </row>
    <row r="19" spans="1:13">
      <c r="A19" s="7">
        <v>2002</v>
      </c>
      <c r="B19" s="5">
        <v>186025</v>
      </c>
      <c r="C19" s="5">
        <v>70040</v>
      </c>
      <c r="D19" s="6">
        <v>179.86699999999999</v>
      </c>
      <c r="E19" s="8">
        <v>6.54</v>
      </c>
      <c r="F19" s="6">
        <f t="shared" si="0"/>
        <v>2.6559822958309538</v>
      </c>
      <c r="G19" s="9">
        <f t="shared" si="1"/>
        <v>103423.64080125872</v>
      </c>
      <c r="H19" s="10">
        <f t="shared" si="6"/>
        <v>7.4667822068168688E-2</v>
      </c>
      <c r="I19" s="10">
        <f t="shared" si="7"/>
        <v>-8.0725109757824667E-3</v>
      </c>
      <c r="J19" s="7">
        <f t="shared" si="2"/>
        <v>12.133636352265462</v>
      </c>
      <c r="K19" s="7">
        <f t="shared" si="3"/>
        <v>11.156821786399789</v>
      </c>
      <c r="L19" s="7">
        <f t="shared" si="4"/>
        <v>194.04192222404254</v>
      </c>
      <c r="M19" s="7">
        <f t="shared" si="5"/>
        <v>17.370124214734439</v>
      </c>
    </row>
    <row r="20" spans="1:13">
      <c r="A20" s="7">
        <v>2003</v>
      </c>
      <c r="B20" s="5">
        <v>192125</v>
      </c>
      <c r="C20" s="5">
        <v>70080</v>
      </c>
      <c r="D20" s="6">
        <v>184</v>
      </c>
      <c r="E20" s="8">
        <v>5.83</v>
      </c>
      <c r="F20" s="6">
        <f t="shared" si="0"/>
        <v>2.7415097031963471</v>
      </c>
      <c r="G20" s="9">
        <f t="shared" si="1"/>
        <v>104415.76086956523</v>
      </c>
      <c r="H20" s="10">
        <f t="shared" si="6"/>
        <v>3.279129149307889E-2</v>
      </c>
      <c r="I20" s="10">
        <f t="shared" si="7"/>
        <v>5.7110222729868647E-4</v>
      </c>
      <c r="J20" s="7">
        <f t="shared" si="2"/>
        <v>12.165901480840898</v>
      </c>
      <c r="K20" s="7">
        <f t="shared" si="3"/>
        <v>11.157392725610274</v>
      </c>
      <c r="L20" s="7">
        <f t="shared" si="4"/>
        <v>200.29042115194198</v>
      </c>
      <c r="M20" s="7">
        <f t="shared" si="5"/>
        <v>15.983001569634704</v>
      </c>
    </row>
    <row r="21" spans="1:13">
      <c r="A21" s="7">
        <v>2004</v>
      </c>
      <c r="B21" s="5">
        <v>218150</v>
      </c>
      <c r="C21" s="5">
        <v>69970</v>
      </c>
      <c r="D21" s="6">
        <v>188.90799999999999</v>
      </c>
      <c r="E21" s="8">
        <v>5.84</v>
      </c>
      <c r="F21" s="6">
        <f t="shared" si="0"/>
        <v>3.1177647563241391</v>
      </c>
      <c r="G21" s="9">
        <f t="shared" si="1"/>
        <v>115479.49266309527</v>
      </c>
      <c r="H21" s="10">
        <f t="shared" si="6"/>
        <v>0.13545868575146389</v>
      </c>
      <c r="I21" s="10">
        <f t="shared" si="7"/>
        <v>-1.5696347031963469E-3</v>
      </c>
      <c r="J21" s="7">
        <f t="shared" si="2"/>
        <v>12.292938178551756</v>
      </c>
      <c r="K21" s="7">
        <f t="shared" si="3"/>
        <v>11.155821857739943</v>
      </c>
      <c r="L21" s="7">
        <f t="shared" si="4"/>
        <v>227.77902823717264</v>
      </c>
      <c r="M21" s="7">
        <f t="shared" si="5"/>
        <v>18.207746176932972</v>
      </c>
    </row>
    <row r="22" spans="1:13">
      <c r="A22" s="7">
        <v>2005</v>
      </c>
      <c r="B22" s="5">
        <v>236550</v>
      </c>
      <c r="C22" s="5">
        <v>71060</v>
      </c>
      <c r="D22" s="6">
        <v>195.267</v>
      </c>
      <c r="E22" s="8">
        <v>5.87</v>
      </c>
      <c r="F22" s="6">
        <f t="shared" si="0"/>
        <v>3.3288770053475938</v>
      </c>
      <c r="G22" s="9">
        <f t="shared" si="1"/>
        <v>121141.82119866644</v>
      </c>
      <c r="H22" s="10">
        <f t="shared" si="6"/>
        <v>8.4345633738253489E-2</v>
      </c>
      <c r="I22" s="10">
        <f t="shared" si="7"/>
        <v>1.55781049021009E-2</v>
      </c>
      <c r="J22" s="7">
        <f t="shared" si="2"/>
        <v>12.373914881059294</v>
      </c>
      <c r="K22" s="7">
        <f t="shared" si="3"/>
        <v>11.171279869575018</v>
      </c>
      <c r="L22" s="7">
        <f t="shared" si="4"/>
        <v>243.20255973806155</v>
      </c>
      <c r="M22" s="7">
        <f t="shared" si="5"/>
        <v>19.540508021390377</v>
      </c>
    </row>
    <row r="23" spans="1:13">
      <c r="A23" s="7">
        <v>2006</v>
      </c>
      <c r="B23" s="5">
        <v>243750</v>
      </c>
      <c r="C23" s="5">
        <v>71850</v>
      </c>
      <c r="D23" s="6">
        <v>201.55799999999999</v>
      </c>
      <c r="E23" s="8">
        <v>6.41</v>
      </c>
      <c r="F23" s="6">
        <f t="shared" si="0"/>
        <v>3.3924843423799582</v>
      </c>
      <c r="G23" s="9">
        <f t="shared" si="1"/>
        <v>120932.93245616647</v>
      </c>
      <c r="H23" s="10">
        <f t="shared" si="6"/>
        <v>3.0437539632213063E-2</v>
      </c>
      <c r="I23" s="10">
        <f t="shared" si="7"/>
        <v>1.1117365606529693E-2</v>
      </c>
      <c r="J23" s="7">
        <f t="shared" si="2"/>
        <v>12.403898388860094</v>
      </c>
      <c r="K23" s="7">
        <f t="shared" si="3"/>
        <v>11.18233589150717</v>
      </c>
      <c r="L23" s="7">
        <f t="shared" si="4"/>
        <v>247.84961253080277</v>
      </c>
      <c r="M23" s="7">
        <f t="shared" si="5"/>
        <v>21.745824634655534</v>
      </c>
    </row>
    <row r="24" spans="1:13">
      <c r="A24" s="7">
        <v>2007</v>
      </c>
      <c r="B24" s="5">
        <v>244950</v>
      </c>
      <c r="C24" s="5">
        <v>73010</v>
      </c>
      <c r="D24" s="6">
        <v>207.34399999999999</v>
      </c>
      <c r="E24" s="8">
        <v>6.34</v>
      </c>
      <c r="F24" s="6">
        <f t="shared" si="0"/>
        <v>3.3550198602931105</v>
      </c>
      <c r="G24" s="9">
        <f t="shared" si="1"/>
        <v>118137.00902847442</v>
      </c>
      <c r="H24" s="10">
        <f t="shared" si="6"/>
        <v>4.9230769230769232E-3</v>
      </c>
      <c r="I24" s="10">
        <f t="shared" si="7"/>
        <v>1.6144745998608212E-2</v>
      </c>
      <c r="J24" s="7">
        <f t="shared" si="2"/>
        <v>12.408809387066722</v>
      </c>
      <c r="K24" s="7">
        <f t="shared" si="3"/>
        <v>11.198351697050132</v>
      </c>
      <c r="L24" s="7">
        <f t="shared" si="4"/>
        <v>245.11251592791078</v>
      </c>
      <c r="M24" s="7">
        <f t="shared" si="5"/>
        <v>21.270825914258321</v>
      </c>
    </row>
    <row r="25" spans="1:13">
      <c r="A25" s="7">
        <v>2008</v>
      </c>
      <c r="B25" s="5">
        <v>229550</v>
      </c>
      <c r="C25" s="5">
        <v>70520</v>
      </c>
      <c r="D25" s="6">
        <v>215.25399999999999</v>
      </c>
      <c r="E25" s="8">
        <v>6.03</v>
      </c>
      <c r="F25" s="6">
        <f t="shared" si="0"/>
        <v>3.2551049347702778</v>
      </c>
      <c r="G25" s="9">
        <f t="shared" si="1"/>
        <v>106641.45614018787</v>
      </c>
      <c r="H25" s="10">
        <f t="shared" si="6"/>
        <v>-6.2869973463972245E-2</v>
      </c>
      <c r="I25" s="10">
        <f t="shared" si="7"/>
        <v>-3.410491713463909E-2</v>
      </c>
      <c r="J25" s="7">
        <f t="shared" si="2"/>
        <v>12.343876149677367</v>
      </c>
      <c r="K25" s="7">
        <f t="shared" si="3"/>
        <v>11.163651636511807</v>
      </c>
      <c r="L25" s="7">
        <f t="shared" si="4"/>
        <v>237.81288737324951</v>
      </c>
      <c r="M25" s="7">
        <f t="shared" si="5"/>
        <v>19.628282756664778</v>
      </c>
    </row>
    <row r="26" spans="1:13">
      <c r="A26" s="7">
        <v>2009</v>
      </c>
      <c r="B26" s="5">
        <v>215650</v>
      </c>
      <c r="C26" s="5">
        <v>70070</v>
      </c>
      <c r="D26" s="6">
        <v>214.565</v>
      </c>
      <c r="E26" s="8">
        <v>5.04</v>
      </c>
      <c r="F26" s="6">
        <f t="shared" si="0"/>
        <v>3.0776366490652203</v>
      </c>
      <c r="G26" s="9">
        <f t="shared" si="1"/>
        <v>100505.67427119987</v>
      </c>
      <c r="H26" s="10">
        <f t="shared" si="6"/>
        <v>-6.055325637116097E-2</v>
      </c>
      <c r="I26" s="10">
        <f t="shared" si="7"/>
        <v>-6.3811684628474188E-3</v>
      </c>
      <c r="J26" s="7">
        <f t="shared" si="2"/>
        <v>12.281412002075989</v>
      </c>
      <c r="K26" s="7">
        <f t="shared" si="3"/>
        <v>11.157250021364579</v>
      </c>
      <c r="L26" s="7">
        <f t="shared" si="4"/>
        <v>224.84733133544421</v>
      </c>
      <c r="M26" s="7">
        <f t="shared" si="5"/>
        <v>15.51128871128871</v>
      </c>
    </row>
    <row r="27" spans="1:13">
      <c r="A27" s="7">
        <v>2010</v>
      </c>
      <c r="B27" s="5">
        <v>222700</v>
      </c>
      <c r="C27" s="5">
        <v>68420</v>
      </c>
      <c r="D27" s="6">
        <v>218.07599999999999</v>
      </c>
      <c r="E27" s="8">
        <v>4.6900000000000004</v>
      </c>
      <c r="F27" s="6">
        <f t="shared" si="0"/>
        <v>3.2548962291727563</v>
      </c>
      <c r="G27" s="9">
        <f t="shared" si="1"/>
        <v>102120.36170876208</v>
      </c>
      <c r="H27" s="10">
        <f t="shared" si="6"/>
        <v>3.2691861813123113E-2</v>
      </c>
      <c r="I27" s="10">
        <f t="shared" si="7"/>
        <v>-2.3547880690737835E-2</v>
      </c>
      <c r="J27" s="7">
        <f t="shared" si="2"/>
        <v>12.313580853245458</v>
      </c>
      <c r="K27" s="7">
        <f t="shared" si="3"/>
        <v>11.133420458531596</v>
      </c>
      <c r="L27" s="7">
        <f t="shared" si="4"/>
        <v>237.79763966795207</v>
      </c>
      <c r="M27" s="7">
        <f t="shared" si="5"/>
        <v>15.265463314820229</v>
      </c>
    </row>
    <row r="28" spans="1:13">
      <c r="A28" s="7">
        <v>2011</v>
      </c>
      <c r="B28" s="5">
        <v>224900</v>
      </c>
      <c r="C28" s="5">
        <v>67410</v>
      </c>
      <c r="D28" s="6">
        <v>224.923</v>
      </c>
      <c r="E28" s="8">
        <v>4.45</v>
      </c>
      <c r="F28" s="6">
        <f t="shared" si="0"/>
        <v>3.3363002521881024</v>
      </c>
      <c r="G28" s="9">
        <f t="shared" si="1"/>
        <v>99989.774278308571</v>
      </c>
      <c r="H28" s="10">
        <f t="shared" si="6"/>
        <v>9.8787606645711727E-3</v>
      </c>
      <c r="I28" s="10">
        <f t="shared" si="7"/>
        <v>-1.4761765565624087E-2</v>
      </c>
      <c r="J28" s="7">
        <f t="shared" si="2"/>
        <v>12.323411137947407</v>
      </c>
      <c r="K28" s="7">
        <f t="shared" si="3"/>
        <v>11.118548653847485</v>
      </c>
      <c r="L28" s="7">
        <f t="shared" si="4"/>
        <v>243.74489056923343</v>
      </c>
      <c r="M28" s="7">
        <f t="shared" si="5"/>
        <v>14.846536122237056</v>
      </c>
    </row>
    <row r="29" spans="1:13">
      <c r="A29" s="7">
        <v>2012</v>
      </c>
      <c r="B29" s="5">
        <v>244400</v>
      </c>
      <c r="C29" s="5">
        <v>67400</v>
      </c>
      <c r="D29" s="6">
        <v>229.58600000000001</v>
      </c>
      <c r="E29" s="8">
        <v>3.66</v>
      </c>
      <c r="F29" s="6">
        <f t="shared" si="0"/>
        <v>3.6261127596439171</v>
      </c>
      <c r="G29" s="9">
        <f t="shared" si="1"/>
        <v>106452.48403648306</v>
      </c>
      <c r="H29" s="10">
        <f t="shared" si="6"/>
        <v>8.6705202312138727E-2</v>
      </c>
      <c r="I29" s="10">
        <f t="shared" si="7"/>
        <v>-1.483459427384661E-4</v>
      </c>
      <c r="J29" s="7">
        <f t="shared" si="2"/>
        <v>12.406561506279576</v>
      </c>
      <c r="K29" s="7">
        <f t="shared" si="3"/>
        <v>11.118400296900399</v>
      </c>
      <c r="L29" s="7">
        <f t="shared" si="4"/>
        <v>264.91814014983805</v>
      </c>
      <c r="M29" s="7">
        <f t="shared" si="5"/>
        <v>13.271572700296737</v>
      </c>
    </row>
    <row r="30" spans="1:13">
      <c r="A30" s="7">
        <v>2013</v>
      </c>
      <c r="B30" s="5">
        <v>266225</v>
      </c>
      <c r="C30" s="5">
        <v>69950</v>
      </c>
      <c r="D30" s="6">
        <v>232.952</v>
      </c>
      <c r="E30" s="8">
        <v>3.98</v>
      </c>
      <c r="F30" s="6">
        <f t="shared" si="0"/>
        <v>3.8059328091493922</v>
      </c>
      <c r="G30" s="9">
        <f t="shared" si="1"/>
        <v>114283.19997252653</v>
      </c>
      <c r="H30" s="10">
        <f t="shared" si="6"/>
        <v>8.9300327332242233E-2</v>
      </c>
      <c r="I30" s="10">
        <f t="shared" si="7"/>
        <v>3.7833827893175076E-2</v>
      </c>
      <c r="J30" s="7">
        <f t="shared" si="2"/>
        <v>12.492097094883585</v>
      </c>
      <c r="K30" s="7">
        <f t="shared" si="3"/>
        <v>11.155535980093628</v>
      </c>
      <c r="L30" s="7">
        <f t="shared" si="4"/>
        <v>278.05551238128521</v>
      </c>
      <c r="M30" s="7">
        <f t="shared" si="5"/>
        <v>15.147612580414581</v>
      </c>
    </row>
    <row r="31" spans="1:13">
      <c r="A31" s="7">
        <v>2014</v>
      </c>
      <c r="B31" s="5">
        <v>285775</v>
      </c>
      <c r="C31" s="5">
        <v>69060</v>
      </c>
      <c r="D31" s="6">
        <v>236.715</v>
      </c>
      <c r="E31" s="8">
        <v>4.17</v>
      </c>
      <c r="F31" s="6">
        <f t="shared" si="0"/>
        <v>4.138068346365479</v>
      </c>
      <c r="G31" s="9">
        <f t="shared" si="1"/>
        <v>120725.3448239444</v>
      </c>
      <c r="H31" s="10">
        <f t="shared" si="6"/>
        <v>7.3434125269978404E-2</v>
      </c>
      <c r="I31" s="10">
        <f t="shared" si="7"/>
        <v>-1.272337383845604E-2</v>
      </c>
      <c r="J31" s="7">
        <f t="shared" si="2"/>
        <v>12.562960066893979</v>
      </c>
      <c r="K31" s="7">
        <f t="shared" si="3"/>
        <v>11.142730970943983</v>
      </c>
      <c r="L31" s="7">
        <f t="shared" si="4"/>
        <v>302.32081647668059</v>
      </c>
      <c r="M31" s="7">
        <f t="shared" si="5"/>
        <v>17.255745004344046</v>
      </c>
    </row>
    <row r="32" spans="1:13">
      <c r="A32" s="7">
        <v>2015</v>
      </c>
      <c r="B32" s="5">
        <v>294150</v>
      </c>
      <c r="C32" s="5">
        <v>72790</v>
      </c>
      <c r="D32" s="6">
        <v>237.00200000000001</v>
      </c>
      <c r="E32" s="8">
        <v>3.85</v>
      </c>
      <c r="F32" s="6">
        <f t="shared" si="0"/>
        <v>4.0410770710262396</v>
      </c>
      <c r="G32" s="9">
        <f t="shared" si="1"/>
        <v>124112.87668458495</v>
      </c>
      <c r="H32" s="10">
        <f t="shared" si="6"/>
        <v>2.9306272417111364E-2</v>
      </c>
      <c r="I32" s="10">
        <f t="shared" si="7"/>
        <v>5.401100492325514E-2</v>
      </c>
      <c r="J32" s="7">
        <f t="shared" si="2"/>
        <v>12.591845120292602</v>
      </c>
      <c r="K32" s="7">
        <f t="shared" si="3"/>
        <v>11.195333862112303</v>
      </c>
      <c r="L32" s="7">
        <f t="shared" si="4"/>
        <v>295.23478524246286</v>
      </c>
      <c r="M32" s="7">
        <f t="shared" si="5"/>
        <v>15.558146723451022</v>
      </c>
    </row>
    <row r="33" spans="1:13">
      <c r="A33" s="7">
        <v>2016</v>
      </c>
      <c r="B33" s="5">
        <v>305125</v>
      </c>
      <c r="C33" s="5">
        <v>75380</v>
      </c>
      <c r="D33" s="6">
        <v>240.005</v>
      </c>
      <c r="E33" s="8">
        <v>3.65</v>
      </c>
      <c r="F33" s="6">
        <f t="shared" si="0"/>
        <v>4.047824356593261</v>
      </c>
      <c r="G33" s="9">
        <f t="shared" si="1"/>
        <v>127132.76806733193</v>
      </c>
      <c r="H33" s="10">
        <f t="shared" si="6"/>
        <v>3.7310895801461838E-2</v>
      </c>
      <c r="I33" s="10">
        <f t="shared" si="7"/>
        <v>3.5581810688281354E-2</v>
      </c>
      <c r="J33" s="7">
        <f t="shared" si="2"/>
        <v>12.628476807695261</v>
      </c>
      <c r="K33" s="7">
        <f t="shared" si="3"/>
        <v>11.230297266821127</v>
      </c>
      <c r="L33" s="7">
        <f t="shared" si="4"/>
        <v>295.72773139774205</v>
      </c>
      <c r="M33" s="7">
        <f t="shared" si="5"/>
        <v>14.774558901565403</v>
      </c>
    </row>
    <row r="34" spans="1:13">
      <c r="A34" s="7">
        <v>2017</v>
      </c>
      <c r="B34" s="5">
        <v>322425</v>
      </c>
      <c r="C34" s="5">
        <v>76710</v>
      </c>
      <c r="D34" s="6">
        <v>245.12100000000001</v>
      </c>
      <c r="E34" s="8">
        <v>3.99</v>
      </c>
      <c r="F34" s="6">
        <f t="shared" si="0"/>
        <v>4.203167774736019</v>
      </c>
      <c r="G34" s="9">
        <f t="shared" si="1"/>
        <v>131537.0776065698</v>
      </c>
      <c r="H34" s="10">
        <f t="shared" si="6"/>
        <v>5.6698074559606716E-2</v>
      </c>
      <c r="I34" s="10">
        <f t="shared" si="7"/>
        <v>1.7643937383921466E-2</v>
      </c>
      <c r="J34" s="7">
        <f t="shared" si="2"/>
        <v>12.683625830032591</v>
      </c>
      <c r="K34" s="7">
        <f t="shared" si="3"/>
        <v>11.247787356953342</v>
      </c>
      <c r="L34" s="7">
        <f t="shared" si="4"/>
        <v>307.07687913437758</v>
      </c>
      <c r="M34" s="7">
        <f t="shared" si="5"/>
        <v>16.770639421196716</v>
      </c>
    </row>
    <row r="35" spans="1:13">
      <c r="A35" s="7">
        <v>2018</v>
      </c>
      <c r="B35" s="5">
        <v>325275</v>
      </c>
      <c r="C35" s="5">
        <v>77700</v>
      </c>
      <c r="D35" s="6">
        <v>251.1</v>
      </c>
      <c r="E35" s="8">
        <v>4.54</v>
      </c>
      <c r="F35" s="6">
        <f t="shared" si="0"/>
        <v>4.1862934362934361</v>
      </c>
      <c r="G35" s="9">
        <f t="shared" si="1"/>
        <v>129540.02389486261</v>
      </c>
      <c r="H35" s="10">
        <f t="shared" si="6"/>
        <v>8.8392649453361248E-3</v>
      </c>
      <c r="I35" s="10">
        <f t="shared" si="7"/>
        <v>1.2905748924520923E-2</v>
      </c>
      <c r="J35" s="7">
        <f t="shared" si="2"/>
        <v>12.692426257371677</v>
      </c>
      <c r="K35" s="7">
        <f t="shared" si="3"/>
        <v>11.260610536355738</v>
      </c>
      <c r="L35" s="7">
        <f t="shared" si="4"/>
        <v>305.84406629793756</v>
      </c>
      <c r="M35" s="7">
        <f t="shared" si="5"/>
        <v>19.005772200772199</v>
      </c>
    </row>
    <row r="36" spans="1:13">
      <c r="A36" s="7">
        <v>2019</v>
      </c>
      <c r="B36" s="5">
        <v>320250</v>
      </c>
      <c r="C36" s="5">
        <v>83260</v>
      </c>
      <c r="D36" s="6">
        <v>255.65299999999999</v>
      </c>
      <c r="E36" s="8">
        <v>3.94</v>
      </c>
      <c r="F36" s="6">
        <f t="shared" si="0"/>
        <v>3.8463848186404035</v>
      </c>
      <c r="G36" s="9">
        <f t="shared" si="1"/>
        <v>125267.45236707568</v>
      </c>
      <c r="H36" s="10">
        <f t="shared" si="6"/>
        <v>-1.5448466682038276E-2</v>
      </c>
      <c r="I36" s="10">
        <f t="shared" si="7"/>
        <v>7.1557271557271554E-2</v>
      </c>
      <c r="J36" s="7">
        <f t="shared" si="2"/>
        <v>12.676857219758981</v>
      </c>
      <c r="K36" s="7">
        <f t="shared" si="3"/>
        <v>11.329723520748967</v>
      </c>
      <c r="L36" s="7">
        <f t="shared" si="4"/>
        <v>281.01087307468362</v>
      </c>
      <c r="M36" s="7">
        <f t="shared" si="5"/>
        <v>15.154756185443189</v>
      </c>
    </row>
    <row r="37" spans="1:13">
      <c r="A37" s="7">
        <v>2020</v>
      </c>
      <c r="B37" s="5">
        <v>328150</v>
      </c>
      <c r="C37" s="5">
        <v>81580</v>
      </c>
      <c r="D37" s="6">
        <v>258.85599999999999</v>
      </c>
      <c r="E37" s="8">
        <v>3.11</v>
      </c>
      <c r="F37" s="6">
        <f t="shared" si="0"/>
        <v>4.0224319686197596</v>
      </c>
      <c r="G37" s="9">
        <f t="shared" si="1"/>
        <v>126769.32348487189</v>
      </c>
      <c r="H37" s="10">
        <f t="shared" si="6"/>
        <v>2.4668227946916473E-2</v>
      </c>
      <c r="I37" s="10">
        <f t="shared" si="7"/>
        <v>-2.0177756425654576E-2</v>
      </c>
      <c r="J37" s="7">
        <f t="shared" si="2"/>
        <v>12.701226099901868</v>
      </c>
      <c r="K37" s="7">
        <f t="shared" si="3"/>
        <v>11.30933941287155</v>
      </c>
      <c r="L37" s="7">
        <f t="shared" si="4"/>
        <v>293.87260315386368</v>
      </c>
      <c r="M37" s="7">
        <f t="shared" si="5"/>
        <v>12.509763422407453</v>
      </c>
    </row>
    <row r="38" spans="1:13">
      <c r="A38" s="7">
        <v>2021</v>
      </c>
      <c r="B38" s="5">
        <v>383000</v>
      </c>
      <c r="C38" s="5">
        <v>81270</v>
      </c>
      <c r="D38" s="6">
        <v>270.97300000000001</v>
      </c>
      <c r="E38" s="8">
        <v>2.96</v>
      </c>
      <c r="F38" s="6">
        <f t="shared" si="0"/>
        <v>4.7126861080349451</v>
      </c>
      <c r="G38" s="9">
        <f t="shared" si="1"/>
        <v>141342.49537776824</v>
      </c>
      <c r="H38" s="10">
        <f t="shared" si="6"/>
        <v>0.16714916958707907</v>
      </c>
      <c r="I38" s="10">
        <f t="shared" si="7"/>
        <v>-3.7999509683746017E-3</v>
      </c>
      <c r="J38" s="7">
        <f t="shared" si="2"/>
        <v>12.855790268162783</v>
      </c>
      <c r="K38" s="7">
        <f t="shared" si="3"/>
        <v>11.305532223747251</v>
      </c>
      <c r="L38" s="7">
        <f t="shared" si="4"/>
        <v>344.30149352917425</v>
      </c>
      <c r="M38" s="7">
        <f t="shared" si="5"/>
        <v>13.949550879783438</v>
      </c>
    </row>
    <row r="39" spans="1:13">
      <c r="A39" s="7">
        <v>2022</v>
      </c>
      <c r="B39" s="5">
        <v>432950</v>
      </c>
      <c r="C39" s="5">
        <v>79500</v>
      </c>
      <c r="D39" s="6">
        <v>292.62599999999998</v>
      </c>
      <c r="E39" s="8">
        <v>5.34</v>
      </c>
      <c r="F39" s="6">
        <f t="shared" si="0"/>
        <v>5.4459119496855344</v>
      </c>
      <c r="G39" s="9">
        <f t="shared" si="1"/>
        <v>147953.36026190428</v>
      </c>
      <c r="H39" s="10">
        <f t="shared" si="6"/>
        <v>0.13041775456919061</v>
      </c>
      <c r="I39" s="10">
        <f t="shared" si="7"/>
        <v>-2.1779254337393871E-2</v>
      </c>
      <c r="J39" s="7">
        <f t="shared" si="2"/>
        <v>12.978377526875947</v>
      </c>
      <c r="K39" s="7">
        <f t="shared" si="3"/>
        <v>11.283512300642423</v>
      </c>
      <c r="L39" s="7">
        <f t="shared" si="4"/>
        <v>397.86982941814102</v>
      </c>
      <c r="M39" s="7">
        <f t="shared" si="5"/>
        <v>29.081169811320752</v>
      </c>
    </row>
    <row r="40" spans="1:13">
      <c r="A40" s="7">
        <v>2023</v>
      </c>
      <c r="B40" s="5">
        <v>426525</v>
      </c>
      <c r="C40" s="5">
        <v>82690</v>
      </c>
      <c r="D40" s="6">
        <v>304.70299999999997</v>
      </c>
      <c r="E40" s="8">
        <v>6.81</v>
      </c>
      <c r="F40" s="6">
        <f t="shared" si="0"/>
        <v>5.1581206917402342</v>
      </c>
      <c r="G40" s="9">
        <f t="shared" si="1"/>
        <v>139980.57124478591</v>
      </c>
      <c r="H40" s="10">
        <f t="shared" si="6"/>
        <v>-1.4840050814181776E-2</v>
      </c>
      <c r="I40" s="10">
        <f t="shared" si="7"/>
        <v>4.0125786163522012E-2</v>
      </c>
      <c r="J40" s="7">
        <f t="shared" si="2"/>
        <v>12.963426260843111</v>
      </c>
      <c r="K40" s="7">
        <f t="shared" si="3"/>
        <v>11.322853954716212</v>
      </c>
      <c r="L40" s="7">
        <f t="shared" si="4"/>
        <v>376.84424917288192</v>
      </c>
      <c r="M40" s="7">
        <f t="shared" si="5"/>
        <v>35.126801910750991</v>
      </c>
    </row>
    <row r="41" spans="1:13">
      <c r="A41" s="7">
        <v>2024</v>
      </c>
      <c r="B41" s="5">
        <v>418975</v>
      </c>
      <c r="C41" s="5">
        <v>83730</v>
      </c>
      <c r="D41" s="6">
        <v>313.69799999999998</v>
      </c>
      <c r="E41" s="8">
        <v>6.72</v>
      </c>
      <c r="F41" s="6">
        <f t="shared" si="0"/>
        <v>5.003881523946017</v>
      </c>
      <c r="G41" s="9">
        <f t="shared" si="1"/>
        <v>133559.98444363687</v>
      </c>
      <c r="H41" s="10">
        <f t="shared" si="6"/>
        <v>-1.7701189848191783E-2</v>
      </c>
      <c r="I41" s="10">
        <f t="shared" si="7"/>
        <v>1.2577095174749062E-2</v>
      </c>
      <c r="J41" s="7">
        <f t="shared" si="2"/>
        <v>12.945566531253075</v>
      </c>
      <c r="K41" s="7">
        <f t="shared" si="3"/>
        <v>11.335352615198477</v>
      </c>
      <c r="L41" s="7">
        <f t="shared" si="4"/>
        <v>365.57577624367406</v>
      </c>
      <c r="M41" s="7">
        <f t="shared" si="5"/>
        <v>33.626083840917232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2BB3-DDDE-4B3A-A684-5E8B8EE36D15}">
  <dimension ref="A1:E41"/>
  <sheetViews>
    <sheetView workbookViewId="0">
      <selection activeCell="Q19" sqref="Q19"/>
    </sheetView>
  </sheetViews>
  <sheetFormatPr defaultRowHeight="15"/>
  <cols>
    <col min="2" max="2" width="18.42578125" customWidth="1"/>
    <col min="3" max="3" width="24.42578125" customWidth="1"/>
    <col min="4" max="4" width="21.140625" bestFit="1" customWidth="1"/>
    <col min="5" max="5" width="15" bestFit="1" customWidth="1"/>
  </cols>
  <sheetData>
    <row r="1" spans="1:5" s="12" customFormat="1">
      <c r="A1" s="11" t="s">
        <v>34</v>
      </c>
      <c r="B1" s="11" t="s">
        <v>52</v>
      </c>
      <c r="C1" s="11" t="s">
        <v>53</v>
      </c>
      <c r="D1" s="11" t="s">
        <v>54</v>
      </c>
      <c r="E1" s="11" t="s">
        <v>55</v>
      </c>
    </row>
    <row r="2" spans="1:5">
      <c r="A2">
        <f>'Raw Series'!A3</f>
        <v>1985</v>
      </c>
      <c r="B2">
        <f>('Transformed Series'!C2/'Transformed Series'!$C$2)*100</f>
        <v>100</v>
      </c>
      <c r="C2">
        <f>('Transformed Series'!B2/'Transformed Series'!$B$2)*100</f>
        <v>100</v>
      </c>
      <c r="D2">
        <f>(C2/B2)*100</f>
        <v>100</v>
      </c>
      <c r="E2">
        <f>('Transformed Series'!G2/'Transformed Series'!$G$2)*100</f>
        <v>100</v>
      </c>
    </row>
    <row r="3" spans="1:5">
      <c r="A3" s="7">
        <f>'Raw Series'!A4</f>
        <v>1986</v>
      </c>
      <c r="B3" s="7">
        <f>('Transformed Series'!C3/'Transformed Series'!$C$2)*100</f>
        <v>103.70310216014293</v>
      </c>
      <c r="C3" s="7">
        <f>('Transformed Series'!B3/'Transformed Series'!$B$2)*100</f>
        <v>109.19608424799763</v>
      </c>
      <c r="D3" s="7">
        <f t="shared" ref="D3:D41" si="0">(C3/B3)*100</f>
        <v>105.29683488095871</v>
      </c>
      <c r="E3" s="7">
        <f>('Transformed Series'!G3/'Transformed Series'!$G$2)*100</f>
        <v>107.11354214605026</v>
      </c>
    </row>
    <row r="4" spans="1:5">
      <c r="A4" s="7">
        <f>'Raw Series'!A5</f>
        <v>1987</v>
      </c>
      <c r="B4" s="7">
        <f>('Transformed Series'!C4/'Transformed Series'!$C$2)*100</f>
        <v>105.00243625142114</v>
      </c>
      <c r="C4" s="7">
        <f>('Transformed Series'!B4/'Transformed Series'!$B$2)*100</f>
        <v>124.23613171165826</v>
      </c>
      <c r="D4" s="7">
        <f t="shared" si="0"/>
        <v>118.31738019314461</v>
      </c>
      <c r="E4" s="7">
        <f>('Transformed Series'!G4/'Transformed Series'!$G$2)*100</f>
        <v>117.65675710654591</v>
      </c>
    </row>
    <row r="5" spans="1:5">
      <c r="A5" s="7">
        <f>'Raw Series'!A6</f>
        <v>1988</v>
      </c>
      <c r="B5" s="7">
        <f>('Transformed Series'!C5/'Transformed Series'!$C$2)*100</f>
        <v>105.78203670618808</v>
      </c>
      <c r="C5" s="7">
        <f>('Transformed Series'!B5/'Transformed Series'!$B$2)*100</f>
        <v>133.16523286858498</v>
      </c>
      <c r="D5" s="7">
        <f t="shared" si="0"/>
        <v>125.88643309870685</v>
      </c>
      <c r="E5" s="7">
        <f>('Transformed Series'!G5/'Transformed Series'!$G$2)*100</f>
        <v>121.14630358621639</v>
      </c>
    </row>
    <row r="6" spans="1:5">
      <c r="A6" s="7">
        <f>'Raw Series'!A7</f>
        <v>1989</v>
      </c>
      <c r="B6" s="7">
        <f>('Transformed Series'!C6/'Transformed Series'!$C$2)*100</f>
        <v>107.5848627578366</v>
      </c>
      <c r="C6" s="7">
        <f>('Transformed Series'!B6/'Transformed Series'!$B$2)*100</f>
        <v>142.89528329872439</v>
      </c>
      <c r="D6" s="7">
        <f t="shared" si="0"/>
        <v>132.82099324731976</v>
      </c>
      <c r="E6" s="7">
        <f>('Transformed Series'!G6/'Transformed Series'!$G$2)*100</f>
        <v>124.05425507852664</v>
      </c>
    </row>
    <row r="7" spans="1:5">
      <c r="A7" s="7">
        <f>'Raw Series'!A8</f>
        <v>1990</v>
      </c>
      <c r="B7" s="7">
        <f>('Transformed Series'!C7/'Transformed Series'!$C$2)*100</f>
        <v>106.28552866655838</v>
      </c>
      <c r="C7" s="7">
        <f>('Transformed Series'!B7/'Transformed Series'!$B$2)*100</f>
        <v>145.1201423909819</v>
      </c>
      <c r="D7" s="7">
        <f t="shared" si="0"/>
        <v>136.53800683087954</v>
      </c>
      <c r="E7" s="7">
        <f>('Transformed Series'!G7/'Transformed Series'!$G$2)*100</f>
        <v>119.50992148410089</v>
      </c>
    </row>
    <row r="8" spans="1:5">
      <c r="A8" s="7">
        <f>'Raw Series'!A9</f>
        <v>1991</v>
      </c>
      <c r="B8" s="7">
        <f>('Transformed Series'!C8/'Transformed Series'!$C$2)*100</f>
        <v>103.18336852363163</v>
      </c>
      <c r="C8" s="7">
        <f>('Transformed Series'!B8/'Transformed Series'!$B$2)*100</f>
        <v>142.36131711658263</v>
      </c>
      <c r="D8" s="7">
        <f t="shared" si="0"/>
        <v>137.96924751877842</v>
      </c>
      <c r="E8" s="7">
        <f>('Transformed Series'!G8/'Transformed Series'!$G$2)*100</f>
        <v>112.49478744295085</v>
      </c>
    </row>
    <row r="9" spans="1:5">
      <c r="A9" s="7">
        <f>'Raw Series'!A10</f>
        <v>1992</v>
      </c>
      <c r="B9" s="7">
        <f>('Transformed Series'!C9/'Transformed Series'!$C$2)*100</f>
        <v>102.33880136430081</v>
      </c>
      <c r="C9" s="7">
        <f>('Transformed Series'!B9/'Transformed Series'!$B$2)*100</f>
        <v>144.02254523880154</v>
      </c>
      <c r="D9" s="7">
        <f t="shared" si="0"/>
        <v>140.73112379547709</v>
      </c>
      <c r="E9" s="7">
        <f>('Transformed Series'!G9/'Transformed Series'!$G$2)*100</f>
        <v>110.448626362681</v>
      </c>
    </row>
    <row r="10" spans="1:5">
      <c r="A10" s="7">
        <f>'Raw Series'!A11</f>
        <v>1993</v>
      </c>
      <c r="B10" s="7">
        <f>('Transformed Series'!C10/'Transformed Series'!$C$2)*100</f>
        <v>101.83530940393048</v>
      </c>
      <c r="C10" s="7">
        <f>('Transformed Series'!B10/'Transformed Series'!$B$2)*100</f>
        <v>150.1038267576387</v>
      </c>
      <c r="D10" s="7">
        <f t="shared" si="0"/>
        <v>147.39860627540375</v>
      </c>
      <c r="E10" s="7">
        <f>('Transformed Series'!G10/'Transformed Series'!$G$2)*100</f>
        <v>111.79215614550561</v>
      </c>
    </row>
    <row r="11" spans="1:5">
      <c r="A11" s="7">
        <f>'Raw Series'!A12</f>
        <v>1994</v>
      </c>
      <c r="B11" s="7">
        <f>('Transformed Series'!C11/'Transformed Series'!$C$2)*100</f>
        <v>102.92350170537598</v>
      </c>
      <c r="C11" s="7">
        <f>('Transformed Series'!B11/'Transformed Series'!$B$2)*100</f>
        <v>154.76119845743105</v>
      </c>
      <c r="D11" s="7">
        <f t="shared" si="0"/>
        <v>150.36526730351952</v>
      </c>
      <c r="E11" s="7">
        <f>('Transformed Series'!G11/'Transformed Series'!$G$2)*100</f>
        <v>112.34477958522231</v>
      </c>
    </row>
    <row r="12" spans="1:5">
      <c r="A12" s="7">
        <f>'Raw Series'!A13</f>
        <v>1995</v>
      </c>
      <c r="B12" s="7">
        <f>('Transformed Series'!C12/'Transformed Series'!$C$2)*100</f>
        <v>106.18807860971253</v>
      </c>
      <c r="C12" s="7">
        <f>('Transformed Series'!B12/'Transformed Series'!$B$2)*100</f>
        <v>158.38030258083654</v>
      </c>
      <c r="D12" s="7">
        <f t="shared" si="0"/>
        <v>149.15073768586885</v>
      </c>
      <c r="E12" s="7">
        <f>('Transformed Series'!G12/'Transformed Series'!$G$2)*100</f>
        <v>111.83478837992436</v>
      </c>
    </row>
    <row r="13" spans="1:5">
      <c r="A13" s="7">
        <f>'Raw Series'!A14</f>
        <v>1996</v>
      </c>
      <c r="B13" s="7">
        <f>('Transformed Series'!C13/'Transformed Series'!$C$2)*100</f>
        <v>107.74727951924639</v>
      </c>
      <c r="C13" s="7">
        <f>('Transformed Series'!B13/'Transformed Series'!$B$2)*100</f>
        <v>166.41946010086028</v>
      </c>
      <c r="D13" s="7">
        <f t="shared" si="0"/>
        <v>154.45351459767812</v>
      </c>
      <c r="E13" s="7">
        <f>('Transformed Series'!G13/'Transformed Series'!$G$2)*100</f>
        <v>114.15888196236448</v>
      </c>
    </row>
    <row r="14" spans="1:5">
      <c r="A14" s="7">
        <f>'Raw Series'!A15</f>
        <v>1997</v>
      </c>
      <c r="B14" s="7">
        <f>('Transformed Series'!C14/'Transformed Series'!$C$2)*100</f>
        <v>109.98863082670131</v>
      </c>
      <c r="C14" s="7">
        <f>('Transformed Series'!B14/'Transformed Series'!$B$2)*100</f>
        <v>172.05576980124593</v>
      </c>
      <c r="D14" s="7">
        <f t="shared" si="0"/>
        <v>156.43050423305834</v>
      </c>
      <c r="E14" s="7">
        <f>('Transformed Series'!G14/'Transformed Series'!$G$2)*100</f>
        <v>115.32908164219941</v>
      </c>
    </row>
    <row r="15" spans="1:5">
      <c r="A15" s="7">
        <f>'Raw Series'!A16</f>
        <v>1998</v>
      </c>
      <c r="B15" s="7">
        <f>('Transformed Series'!C15/'Transformed Series'!$C$2)*100</f>
        <v>114.0165665096638</v>
      </c>
      <c r="C15" s="7">
        <f>('Transformed Series'!B15/'Transformed Series'!$B$2)*100</f>
        <v>180.27291604865025</v>
      </c>
      <c r="D15" s="7">
        <f t="shared" si="0"/>
        <v>158.11116012984894</v>
      </c>
      <c r="E15" s="7">
        <f>('Transformed Series'!G15/'Transformed Series'!$G$2)*100</f>
        <v>118.99640365402169</v>
      </c>
    </row>
    <row r="16" spans="1:5">
      <c r="A16" s="7">
        <f>'Raw Series'!A17</f>
        <v>1999</v>
      </c>
      <c r="B16" s="7">
        <f>('Transformed Series'!C16/'Transformed Series'!$C$2)*100</f>
        <v>116.90758486275783</v>
      </c>
      <c r="C16" s="7">
        <f>('Transformed Series'!B16/'Transformed Series'!$B$2)*100</f>
        <v>190.00296647878966</v>
      </c>
      <c r="D16" s="7">
        <f t="shared" si="0"/>
        <v>162.52407121560267</v>
      </c>
      <c r="E16" s="7">
        <f>('Transformed Series'!G16/'Transformed Series'!$G$2)*100</f>
        <v>122.72752437594335</v>
      </c>
    </row>
    <row r="17" spans="1:5">
      <c r="A17" s="7">
        <f>'Raw Series'!A18</f>
        <v>2000</v>
      </c>
      <c r="B17" s="7">
        <f>('Transformed Series'!C17/'Transformed Series'!$C$2)*100</f>
        <v>116.59899301607925</v>
      </c>
      <c r="C17" s="7">
        <f>('Transformed Series'!B17/'Transformed Series'!$B$2)*100</f>
        <v>198.81340848412933</v>
      </c>
      <c r="D17" s="7">
        <f t="shared" si="0"/>
        <v>170.51039922507096</v>
      </c>
      <c r="E17" s="7">
        <f>('Transformed Series'!G17/'Transformed Series'!$G$2)*100</f>
        <v>124.23528824156938</v>
      </c>
    </row>
    <row r="18" spans="1:5">
      <c r="A18" s="7">
        <f>'Raw Series'!A19</f>
        <v>2001</v>
      </c>
      <c r="B18" s="7">
        <f>('Transformed Series'!C18/'Transformed Series'!$C$2)*100</f>
        <v>114.68247523144387</v>
      </c>
      <c r="C18" s="7">
        <f>('Transformed Series'!B18/'Transformed Series'!$B$2)*100</f>
        <v>205.39899139721149</v>
      </c>
      <c r="D18" s="7">
        <f t="shared" si="0"/>
        <v>179.10233536788434</v>
      </c>
      <c r="E18" s="7">
        <f>('Transformed Series'!G18/'Transformed Series'!$G$2)*100</f>
        <v>124.83439790750195</v>
      </c>
    </row>
    <row r="19" spans="1:5">
      <c r="A19" s="7">
        <f>'Raw Series'!A20</f>
        <v>2002</v>
      </c>
      <c r="B19" s="7">
        <f>('Transformed Series'!C19/'Transformed Series'!$C$2)*100</f>
        <v>113.75669969140816</v>
      </c>
      <c r="C19" s="7">
        <f>('Transformed Series'!B19/'Transformed Series'!$B$2)*100</f>
        <v>220.73568673983982</v>
      </c>
      <c r="D19" s="7">
        <f t="shared" si="0"/>
        <v>194.04192222404251</v>
      </c>
      <c r="E19" s="7">
        <f>('Transformed Series'!G19/'Transformed Series'!$G$2)*100</f>
        <v>132.04845743358572</v>
      </c>
    </row>
    <row r="20" spans="1:5">
      <c r="A20" s="7">
        <f>'Raw Series'!A21</f>
        <v>2003</v>
      </c>
      <c r="B20" s="7">
        <f>('Transformed Series'!C20/'Transformed Series'!$C$2)*100</f>
        <v>113.82166639597206</v>
      </c>
      <c r="C20" s="7">
        <f>('Transformed Series'!B20/'Transformed Series'!$B$2)*100</f>
        <v>227.97389498665086</v>
      </c>
      <c r="D20" s="7">
        <f t="shared" si="0"/>
        <v>200.29042115194198</v>
      </c>
      <c r="E20" s="7">
        <f>('Transformed Series'!G20/'Transformed Series'!$G$2)*100</f>
        <v>133.31516902480237</v>
      </c>
    </row>
    <row r="21" spans="1:5">
      <c r="A21" s="7">
        <f>'Raw Series'!A22</f>
        <v>2004</v>
      </c>
      <c r="B21" s="7">
        <f>('Transformed Series'!C21/'Transformed Series'!$C$2)*100</f>
        <v>113.64300795842131</v>
      </c>
      <c r="C21" s="7">
        <f>('Transformed Series'!B21/'Transformed Series'!$B$2)*100</f>
        <v>258.85493918718481</v>
      </c>
      <c r="D21" s="7">
        <f t="shared" si="0"/>
        <v>227.77902823717264</v>
      </c>
      <c r="E21" s="7">
        <f>('Transformed Series'!G21/'Transformed Series'!$G$2)*100</f>
        <v>147.44103720615902</v>
      </c>
    </row>
    <row r="22" spans="1:5">
      <c r="A22" s="7">
        <f>'Raw Series'!A23</f>
        <v>2005</v>
      </c>
      <c r="B22" s="7">
        <f>('Transformed Series'!C22/'Transformed Series'!$C$2)*100</f>
        <v>115.41335065778789</v>
      </c>
      <c r="C22" s="7">
        <f>('Transformed Series'!B22/'Transformed Series'!$B$2)*100</f>
        <v>280.68822307920499</v>
      </c>
      <c r="D22" s="7">
        <f t="shared" si="0"/>
        <v>243.2025597380615</v>
      </c>
      <c r="E22" s="7">
        <f>('Transformed Series'!G22/'Transformed Series'!$G$2)*100</f>
        <v>154.67054240256908</v>
      </c>
    </row>
    <row r="23" spans="1:5">
      <c r="A23" s="7">
        <f>'Raw Series'!A24</f>
        <v>2006</v>
      </c>
      <c r="B23" s="7">
        <f>('Transformed Series'!C23/'Transformed Series'!$C$2)*100</f>
        <v>116.69644307292512</v>
      </c>
      <c r="C23" s="7">
        <f>('Transformed Series'!B23/'Transformed Series'!$B$2)*100</f>
        <v>289.23168199347373</v>
      </c>
      <c r="D23" s="7">
        <f t="shared" si="0"/>
        <v>247.84961253080277</v>
      </c>
      <c r="E23" s="7">
        <f>('Transformed Series'!G23/'Transformed Series'!$G$2)*100</f>
        <v>154.40383900662727</v>
      </c>
    </row>
    <row r="24" spans="1:5">
      <c r="A24" s="7">
        <f>'Raw Series'!A25</f>
        <v>2007</v>
      </c>
      <c r="B24" s="7">
        <f>('Transformed Series'!C24/'Transformed Series'!$C$2)*100</f>
        <v>118.58047750527854</v>
      </c>
      <c r="C24" s="7">
        <f>('Transformed Series'!B24/'Transformed Series'!$B$2)*100</f>
        <v>290.65559181251854</v>
      </c>
      <c r="D24" s="7">
        <f t="shared" si="0"/>
        <v>245.11251592791078</v>
      </c>
      <c r="E24" s="7">
        <f>('Transformed Series'!G24/'Transformed Series'!$G$2)*100</f>
        <v>150.8340809429113</v>
      </c>
    </row>
    <row r="25" spans="1:5">
      <c r="A25" s="7">
        <f>'Raw Series'!A26</f>
        <v>2008</v>
      </c>
      <c r="B25" s="7">
        <f>('Transformed Series'!C25/'Transformed Series'!$C$2)*100</f>
        <v>114.53630014617508</v>
      </c>
      <c r="C25" s="7">
        <f>('Transformed Series'!B25/'Transformed Series'!$B$2)*100</f>
        <v>272.38208246811035</v>
      </c>
      <c r="D25" s="7">
        <f t="shared" si="0"/>
        <v>237.81288737324951</v>
      </c>
      <c r="E25" s="7">
        <f>('Transformed Series'!G25/'Transformed Series'!$G$2)*100</f>
        <v>136.15687547533926</v>
      </c>
    </row>
    <row r="26" spans="1:5">
      <c r="A26" s="7">
        <f>'Raw Series'!A27</f>
        <v>2009</v>
      </c>
      <c r="B26" s="7">
        <f>('Transformed Series'!C26/'Transformed Series'!$C$2)*100</f>
        <v>113.80542471983108</v>
      </c>
      <c r="C26" s="7">
        <f>('Transformed Series'!B26/'Transformed Series'!$B$2)*100</f>
        <v>255.88846039750814</v>
      </c>
      <c r="D26" s="7">
        <f t="shared" si="0"/>
        <v>224.84733133544421</v>
      </c>
      <c r="E26" s="7">
        <f>('Transformed Series'!G26/'Transformed Series'!$G$2)*100</f>
        <v>128.32287809648301</v>
      </c>
    </row>
    <row r="27" spans="1:5">
      <c r="A27" s="7">
        <f>'Raw Series'!A28</f>
        <v>2010</v>
      </c>
      <c r="B27" s="7">
        <f>('Transformed Series'!C27/'Transformed Series'!$C$2)*100</f>
        <v>111.12554815656976</v>
      </c>
      <c r="C27" s="7">
        <f>('Transformed Series'!B27/'Transformed Series'!$B$2)*100</f>
        <v>264.2539305843963</v>
      </c>
      <c r="D27" s="7">
        <f t="shared" si="0"/>
        <v>237.79763966795207</v>
      </c>
      <c r="E27" s="7">
        <f>('Transformed Series'!G27/'Transformed Series'!$G$2)*100</f>
        <v>130.38446656615602</v>
      </c>
    </row>
    <row r="28" spans="1:5">
      <c r="A28" s="7">
        <f>'Raw Series'!A29</f>
        <v>2011</v>
      </c>
      <c r="B28" s="7">
        <f>('Transformed Series'!C28/'Transformed Series'!$C$2)*100</f>
        <v>109.485138866331</v>
      </c>
      <c r="C28" s="7">
        <f>('Transformed Series'!B28/'Transformed Series'!$B$2)*100</f>
        <v>266.86443191931176</v>
      </c>
      <c r="D28" s="7">
        <f t="shared" si="0"/>
        <v>243.74489056923343</v>
      </c>
      <c r="E28" s="7">
        <f>('Transformed Series'!G28/'Transformed Series'!$G$2)*100</f>
        <v>127.66419118773067</v>
      </c>
    </row>
    <row r="29" spans="1:5">
      <c r="A29" s="7">
        <f>'Raw Series'!A30</f>
        <v>2012</v>
      </c>
      <c r="B29" s="7">
        <f>('Transformed Series'!C29/'Transformed Series'!$C$2)*100</f>
        <v>109.46889719019002</v>
      </c>
      <c r="C29" s="7">
        <f>('Transformed Series'!B29/'Transformed Series'!$B$2)*100</f>
        <v>290.00296647878969</v>
      </c>
      <c r="D29" s="7">
        <f t="shared" si="0"/>
        <v>264.91814014983805</v>
      </c>
      <c r="E29" s="7">
        <f>('Transformed Series'!G29/'Transformed Series'!$G$2)*100</f>
        <v>135.91560109552748</v>
      </c>
    </row>
    <row r="30" spans="1:5">
      <c r="A30" s="7">
        <f>'Raw Series'!A31</f>
        <v>2013</v>
      </c>
      <c r="B30" s="7">
        <f>('Transformed Series'!C30/'Transformed Series'!$C$2)*100</f>
        <v>113.61052460613936</v>
      </c>
      <c r="C30" s="7">
        <f>('Transformed Series'!B30/'Transformed Series'!$B$2)*100</f>
        <v>315.90032631266689</v>
      </c>
      <c r="D30" s="7">
        <f t="shared" si="0"/>
        <v>278.05551238128515</v>
      </c>
      <c r="E30" s="7">
        <f>('Transformed Series'!G30/'Transformed Series'!$G$2)*100</f>
        <v>145.91364363149043</v>
      </c>
    </row>
    <row r="31" spans="1:5">
      <c r="A31" s="7">
        <f>'Raw Series'!A32</f>
        <v>2014</v>
      </c>
      <c r="B31" s="7">
        <f>('Transformed Series'!C31/'Transformed Series'!$C$2)*100</f>
        <v>112.16501542959234</v>
      </c>
      <c r="C31" s="7">
        <f>('Transformed Series'!B31/'Transformed Series'!$B$2)*100</f>
        <v>339.09819044793829</v>
      </c>
      <c r="D31" s="7">
        <f t="shared" si="0"/>
        <v>302.32081647668053</v>
      </c>
      <c r="E31" s="7">
        <f>('Transformed Series'!G31/'Transformed Series'!$G$2)*100</f>
        <v>154.13879683247009</v>
      </c>
    </row>
    <row r="32" spans="1:5">
      <c r="A32" s="7">
        <f>'Raw Series'!A33</f>
        <v>2015</v>
      </c>
      <c r="B32" s="7">
        <f>('Transformed Series'!C32/'Transformed Series'!$C$2)*100</f>
        <v>118.22316063017703</v>
      </c>
      <c r="C32" s="7">
        <f>('Transformed Series'!B32/'Transformed Series'!$B$2)*100</f>
        <v>349.03589439335508</v>
      </c>
      <c r="D32" s="7">
        <f t="shared" si="0"/>
        <v>295.23478524246286</v>
      </c>
      <c r="E32" s="7">
        <f>('Transformed Series'!G32/'Transformed Series'!$G$2)*100</f>
        <v>158.46390425703163</v>
      </c>
    </row>
    <row r="33" spans="1:5">
      <c r="A33" s="7">
        <f>'Raw Series'!A34</f>
        <v>2016</v>
      </c>
      <c r="B33" s="7">
        <f>('Transformed Series'!C33/'Transformed Series'!$C$2)*100</f>
        <v>122.42975475069026</v>
      </c>
      <c r="C33" s="7">
        <f>('Transformed Series'!B33/'Transformed Series'!$B$2)*100</f>
        <v>362.05873628003559</v>
      </c>
      <c r="D33" s="7">
        <f t="shared" si="0"/>
        <v>295.72773139774199</v>
      </c>
      <c r="E33" s="7">
        <f>('Transformed Series'!G33/'Transformed Series'!$G$2)*100</f>
        <v>162.3196184401651</v>
      </c>
    </row>
    <row r="34" spans="1:5">
      <c r="A34" s="7">
        <f>'Raw Series'!A35</f>
        <v>2017</v>
      </c>
      <c r="B34" s="7">
        <f>('Transformed Series'!C34/'Transformed Series'!$C$2)*100</f>
        <v>124.58989767744031</v>
      </c>
      <c r="C34" s="7">
        <f>('Transformed Series'!B34/'Transformed Series'!$B$2)*100</f>
        <v>382.58676950459807</v>
      </c>
      <c r="D34" s="7">
        <f t="shared" si="0"/>
        <v>307.07687913437758</v>
      </c>
      <c r="E34" s="7">
        <f>('Transformed Series'!G34/'Transformed Series'!$G$2)*100</f>
        <v>167.94291961396513</v>
      </c>
    </row>
    <row r="35" spans="1:5">
      <c r="A35" s="7">
        <f>'Raw Series'!A36</f>
        <v>2018</v>
      </c>
      <c r="B35" s="7">
        <f>('Transformed Series'!C35/'Transformed Series'!$C$2)*100</f>
        <v>126.19782361539711</v>
      </c>
      <c r="C35" s="7">
        <f>('Transformed Series'!B35/'Transformed Series'!$B$2)*100</f>
        <v>385.96855532482942</v>
      </c>
      <c r="D35" s="7">
        <f t="shared" si="0"/>
        <v>305.84406629793756</v>
      </c>
      <c r="E35" s="7">
        <f>('Transformed Series'!G35/'Transformed Series'!$G$2)*100</f>
        <v>165.39313641159558</v>
      </c>
    </row>
    <row r="36" spans="1:5">
      <c r="A36" s="7">
        <f>'Raw Series'!A37</f>
        <v>2019</v>
      </c>
      <c r="B36" s="7">
        <f>('Transformed Series'!C36/'Transformed Series'!$C$2)*100</f>
        <v>135.22819554978074</v>
      </c>
      <c r="C36" s="7">
        <f>('Transformed Series'!B36/'Transformed Series'!$B$2)*100</f>
        <v>380.00593295757932</v>
      </c>
      <c r="D36" s="7">
        <f t="shared" si="0"/>
        <v>281.01087307468362</v>
      </c>
      <c r="E36" s="7">
        <f>('Transformed Series'!G36/'Transformed Series'!$G$2)*100</f>
        <v>159.93803470421054</v>
      </c>
    </row>
    <row r="37" spans="1:5">
      <c r="A37" s="7">
        <f>'Raw Series'!A38</f>
        <v>2020</v>
      </c>
      <c r="B37" s="7">
        <f>('Transformed Series'!C37/'Transformed Series'!$C$2)*100</f>
        <v>132.49959395809648</v>
      </c>
      <c r="C37" s="7">
        <f>('Transformed Series'!B37/'Transformed Series'!$B$2)*100</f>
        <v>389.38000593295754</v>
      </c>
      <c r="D37" s="7">
        <f t="shared" si="0"/>
        <v>293.87260315386362</v>
      </c>
      <c r="E37" s="7">
        <f>('Transformed Series'!G37/'Transformed Series'!$G$2)*100</f>
        <v>161.85558240251811</v>
      </c>
    </row>
    <row r="38" spans="1:5">
      <c r="A38" s="7">
        <f>'Raw Series'!A39</f>
        <v>2021</v>
      </c>
      <c r="B38" s="7">
        <f>('Transformed Series'!C38/'Transformed Series'!$C$2)*100</f>
        <v>131.99610199772616</v>
      </c>
      <c r="C38" s="7">
        <f>('Transformed Series'!B38/'Transformed Series'!$B$2)*100</f>
        <v>454.46455057846339</v>
      </c>
      <c r="D38" s="7">
        <f t="shared" si="0"/>
        <v>344.30149352917425</v>
      </c>
      <c r="E38" s="7">
        <f>('Transformed Series'!G38/'Transformed Series'!$G$2)*100</f>
        <v>180.46220709163882</v>
      </c>
    </row>
    <row r="39" spans="1:5">
      <c r="A39" s="7">
        <f>'Raw Series'!A40</f>
        <v>2022</v>
      </c>
      <c r="B39" s="7">
        <f>('Transformed Series'!C39/'Transformed Series'!$C$2)*100</f>
        <v>129.12132532077308</v>
      </c>
      <c r="C39" s="7">
        <f>('Transformed Series'!B39/'Transformed Series'!$B$2)*100</f>
        <v>513.73479679620289</v>
      </c>
      <c r="D39" s="7">
        <f t="shared" si="0"/>
        <v>397.86982941814108</v>
      </c>
      <c r="E39" s="7">
        <f>('Transformed Series'!G39/'Transformed Series'!$G$2)*100</f>
        <v>188.90277738571226</v>
      </c>
    </row>
    <row r="40" spans="1:5">
      <c r="A40" s="7">
        <f>'Raw Series'!A41</f>
        <v>2023</v>
      </c>
      <c r="B40" s="7">
        <f>('Transformed Series'!C40/'Transformed Series'!$C$2)*100</f>
        <v>134.30242000974502</v>
      </c>
      <c r="C40" s="7">
        <f>('Transformed Series'!B40/'Transformed Series'!$B$2)*100</f>
        <v>506.11094630673392</v>
      </c>
      <c r="D40" s="7">
        <f t="shared" si="0"/>
        <v>376.84424917288186</v>
      </c>
      <c r="E40" s="7">
        <f>('Transformed Series'!G40/'Transformed Series'!$G$2)*100</f>
        <v>178.72333985095182</v>
      </c>
    </row>
    <row r="41" spans="1:5">
      <c r="A41" s="7">
        <f>'Raw Series'!A42</f>
        <v>2024</v>
      </c>
      <c r="B41" s="7">
        <f>('Transformed Series'!C41/'Transformed Series'!$C$2)*100</f>
        <v>135.99155432840669</v>
      </c>
      <c r="C41" s="7">
        <f>('Transformed Series'!B41/'Transformed Series'!$B$2)*100</f>
        <v>497.15218036191038</v>
      </c>
      <c r="D41" s="7">
        <f t="shared" si="0"/>
        <v>365.575776243674</v>
      </c>
      <c r="E41" s="7">
        <f>('Transformed Series'!G41/'Transformed Series'!$G$2)*100</f>
        <v>170.52571137508548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01C0-360C-4FB8-925E-A9A60786041E}">
  <dimension ref="A1:F52"/>
  <sheetViews>
    <sheetView showGridLines="0" showRowColHeaders="0" tabSelected="1" workbookViewId="0">
      <selection activeCell="M29" sqref="M29"/>
    </sheetView>
  </sheetViews>
  <sheetFormatPr defaultRowHeight="15"/>
  <cols>
    <col min="1" max="1" width="2.7109375" customWidth="1"/>
    <col min="2" max="5" width="18.7109375" customWidth="1"/>
    <col min="6" max="6" width="2.7109375" customWidth="1"/>
  </cols>
  <sheetData>
    <row r="1" spans="1:6" ht="27.95" customHeight="1">
      <c r="A1" s="12"/>
      <c r="B1" s="14" t="s">
        <v>56</v>
      </c>
      <c r="C1" s="14"/>
      <c r="D1" s="14"/>
      <c r="E1" s="14"/>
      <c r="F1" s="12"/>
    </row>
    <row r="2" spans="1:6" ht="27.95" customHeight="1">
      <c r="A2" s="12"/>
      <c r="B2" s="12"/>
      <c r="C2" s="12"/>
      <c r="D2" s="12"/>
      <c r="E2" s="12"/>
      <c r="F2" s="12"/>
    </row>
    <row r="3" spans="1:6" ht="27.95" customHeight="1">
      <c r="A3" s="12"/>
      <c r="B3" s="15" t="s">
        <v>57</v>
      </c>
      <c r="C3" s="15"/>
      <c r="D3" s="15"/>
      <c r="E3" s="15"/>
      <c r="F3" s="12"/>
    </row>
    <row r="4" spans="1:6" ht="18" customHeight="1" thickBot="1">
      <c r="A4" s="12"/>
      <c r="B4" s="12"/>
      <c r="C4" s="12"/>
      <c r="D4" s="12"/>
      <c r="E4" s="12"/>
      <c r="F4" s="12"/>
    </row>
    <row r="5" spans="1:6" ht="18" customHeight="1">
      <c r="A5" s="12"/>
      <c r="B5" s="16" t="s">
        <v>59</v>
      </c>
      <c r="C5" s="21"/>
      <c r="D5" s="24" t="s">
        <v>60</v>
      </c>
      <c r="E5" s="25"/>
      <c r="F5" s="12"/>
    </row>
    <row r="6" spans="1:6" ht="18" customHeight="1">
      <c r="A6" s="12"/>
      <c r="B6" s="18" t="s">
        <v>58</v>
      </c>
      <c r="C6" s="22"/>
      <c r="D6" s="18" t="s">
        <v>58</v>
      </c>
      <c r="E6" s="19"/>
      <c r="F6" s="12"/>
    </row>
    <row r="7" spans="1:6" ht="21.75" thickBot="1">
      <c r="A7" s="12"/>
      <c r="B7" s="20">
        <f>('Transformed Series'!B41-'Transformed Series'!B2)/'Transformed Series'!B2</f>
        <v>3.9715218036191042</v>
      </c>
      <c r="C7" s="23"/>
      <c r="D7" s="26">
        <f>('Transformed Series'!C41-'Transformed Series'!C2)/'Transformed Series'!C2</f>
        <v>0.35991554328406694</v>
      </c>
      <c r="E7" s="27"/>
      <c r="F7" s="12"/>
    </row>
    <row r="8" spans="1:6" ht="18" customHeight="1">
      <c r="A8" s="12"/>
      <c r="B8" s="16" t="s">
        <v>61</v>
      </c>
      <c r="C8" s="21"/>
      <c r="D8" s="21"/>
      <c r="E8" s="17"/>
      <c r="F8" s="12"/>
    </row>
    <row r="9" spans="1:6" ht="18" customHeight="1">
      <c r="A9" s="12"/>
      <c r="B9" s="18">
        <v>2024</v>
      </c>
      <c r="C9" s="22"/>
      <c r="D9" s="22"/>
      <c r="E9" s="19"/>
      <c r="F9" s="12"/>
    </row>
    <row r="10" spans="1:6" ht="18" customHeight="1" thickBot="1">
      <c r="A10" s="12"/>
      <c r="B10" s="28">
        <f>Indices!D41</f>
        <v>365.575776243674</v>
      </c>
      <c r="C10" s="29"/>
      <c r="D10" s="29"/>
      <c r="E10" s="30"/>
      <c r="F10" s="12"/>
    </row>
    <row r="11" spans="1:6">
      <c r="A11" s="12"/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>
      <c r="A13" s="12"/>
      <c r="B13" s="12"/>
      <c r="C13" s="12"/>
      <c r="D13" s="12"/>
      <c r="E13" s="12"/>
      <c r="F13" s="12"/>
    </row>
    <row r="14" spans="1:6">
      <c r="A14" s="12"/>
      <c r="B14" s="13"/>
      <c r="C14" s="13"/>
      <c r="D14" s="13"/>
      <c r="E14" s="13"/>
      <c r="F14" s="12"/>
    </row>
    <row r="15" spans="1:6">
      <c r="A15" s="12"/>
      <c r="B15" s="13"/>
      <c r="C15" s="13"/>
      <c r="D15" s="13"/>
      <c r="E15" s="13"/>
      <c r="F15" s="12"/>
    </row>
    <row r="16" spans="1:6">
      <c r="B16" s="13"/>
      <c r="C16" s="13"/>
      <c r="D16" s="13"/>
      <c r="E16" s="13"/>
    </row>
    <row r="17" spans="2:5">
      <c r="B17" s="13"/>
      <c r="C17" s="13"/>
      <c r="D17" s="13"/>
      <c r="E17" s="13"/>
    </row>
    <row r="18" spans="2:5">
      <c r="B18" s="13"/>
      <c r="C18" s="13"/>
      <c r="D18" s="13"/>
      <c r="E18" s="13"/>
    </row>
    <row r="19" spans="2:5">
      <c r="B19" s="13"/>
      <c r="C19" s="13"/>
      <c r="D19" s="13"/>
      <c r="E19" s="13"/>
    </row>
    <row r="20" spans="2:5">
      <c r="B20" s="13"/>
      <c r="C20" s="13"/>
      <c r="D20" s="13"/>
      <c r="E20" s="13"/>
    </row>
    <row r="21" spans="2:5">
      <c r="B21" s="13"/>
      <c r="C21" s="13"/>
      <c r="D21" s="13"/>
      <c r="E21" s="13"/>
    </row>
    <row r="22" spans="2:5">
      <c r="B22" s="13"/>
      <c r="C22" s="13"/>
      <c r="D22" s="13"/>
      <c r="E22" s="13"/>
    </row>
    <row r="23" spans="2:5">
      <c r="B23" s="13"/>
      <c r="C23" s="13"/>
      <c r="D23" s="13"/>
      <c r="E23" s="13"/>
    </row>
    <row r="24" spans="2:5">
      <c r="B24" s="13"/>
      <c r="C24" s="13"/>
      <c r="D24" s="13"/>
      <c r="E24" s="13"/>
    </row>
    <row r="25" spans="2:5">
      <c r="B25" s="13"/>
      <c r="C25" s="13"/>
      <c r="D25" s="13"/>
      <c r="E25" s="13"/>
    </row>
    <row r="26" spans="2:5">
      <c r="B26" s="13"/>
      <c r="C26" s="13"/>
      <c r="D26" s="13"/>
      <c r="E26" s="13"/>
    </row>
    <row r="29" spans="2:5" ht="15.75" thickBot="1"/>
    <row r="30" spans="2:5">
      <c r="B30" s="31" t="s">
        <v>62</v>
      </c>
      <c r="C30" s="32"/>
      <c r="D30" s="32"/>
      <c r="E30" s="33"/>
    </row>
    <row r="31" spans="2:5">
      <c r="B31" s="34"/>
      <c r="C31" s="35"/>
      <c r="D31" s="35"/>
      <c r="E31" s="36"/>
    </row>
    <row r="32" spans="2:5">
      <c r="B32" s="34"/>
      <c r="C32" s="35"/>
      <c r="D32" s="35"/>
      <c r="E32" s="36"/>
    </row>
    <row r="33" spans="2:5">
      <c r="B33" s="34"/>
      <c r="C33" s="35"/>
      <c r="D33" s="35"/>
      <c r="E33" s="36"/>
    </row>
    <row r="34" spans="2:5">
      <c r="B34" s="34"/>
      <c r="C34" s="35"/>
      <c r="D34" s="35"/>
      <c r="E34" s="36"/>
    </row>
    <row r="35" spans="2:5">
      <c r="B35" s="34"/>
      <c r="C35" s="35"/>
      <c r="D35" s="35"/>
      <c r="E35" s="36"/>
    </row>
    <row r="36" spans="2:5">
      <c r="B36" s="34"/>
      <c r="C36" s="35"/>
      <c r="D36" s="35"/>
      <c r="E36" s="36"/>
    </row>
    <row r="37" spans="2:5">
      <c r="B37" s="34"/>
      <c r="C37" s="35"/>
      <c r="D37" s="35"/>
      <c r="E37" s="36"/>
    </row>
    <row r="38" spans="2:5">
      <c r="B38" s="34"/>
      <c r="C38" s="35"/>
      <c r="D38" s="35"/>
      <c r="E38" s="36"/>
    </row>
    <row r="39" spans="2:5">
      <c r="B39" s="34"/>
      <c r="C39" s="35"/>
      <c r="D39" s="35"/>
      <c r="E39" s="36"/>
    </row>
    <row r="40" spans="2:5">
      <c r="B40" s="34"/>
      <c r="C40" s="35"/>
      <c r="D40" s="35"/>
      <c r="E40" s="36"/>
    </row>
    <row r="41" spans="2:5">
      <c r="B41" s="34"/>
      <c r="C41" s="35"/>
      <c r="D41" s="35"/>
      <c r="E41" s="36"/>
    </row>
    <row r="42" spans="2:5">
      <c r="B42" s="34"/>
      <c r="C42" s="35"/>
      <c r="D42" s="35"/>
      <c r="E42" s="36"/>
    </row>
    <row r="43" spans="2:5">
      <c r="B43" s="34"/>
      <c r="C43" s="35"/>
      <c r="D43" s="35"/>
      <c r="E43" s="36"/>
    </row>
    <row r="44" spans="2:5">
      <c r="B44" s="34"/>
      <c r="C44" s="35"/>
      <c r="D44" s="35"/>
      <c r="E44" s="36"/>
    </row>
    <row r="45" spans="2:5">
      <c r="B45" s="34"/>
      <c r="C45" s="35"/>
      <c r="D45" s="35"/>
      <c r="E45" s="36"/>
    </row>
    <row r="46" spans="2:5">
      <c r="B46" s="34"/>
      <c r="C46" s="35"/>
      <c r="D46" s="35"/>
      <c r="E46" s="36"/>
    </row>
    <row r="47" spans="2:5">
      <c r="B47" s="34"/>
      <c r="C47" s="35"/>
      <c r="D47" s="35"/>
      <c r="E47" s="36"/>
    </row>
    <row r="48" spans="2:5">
      <c r="B48" s="34"/>
      <c r="C48" s="35"/>
      <c r="D48" s="35"/>
      <c r="E48" s="36"/>
    </row>
    <row r="49" spans="2:5">
      <c r="B49" s="34"/>
      <c r="C49" s="35"/>
      <c r="D49" s="35"/>
      <c r="E49" s="36"/>
    </row>
    <row r="50" spans="2:5">
      <c r="B50" s="34"/>
      <c r="C50" s="35"/>
      <c r="D50" s="35"/>
      <c r="E50" s="36"/>
    </row>
    <row r="51" spans="2:5">
      <c r="B51" s="34"/>
      <c r="C51" s="35"/>
      <c r="D51" s="35"/>
      <c r="E51" s="36"/>
    </row>
    <row r="52" spans="2:5" ht="15.75" thickBot="1">
      <c r="B52" s="37"/>
      <c r="C52" s="38"/>
      <c r="D52" s="38"/>
      <c r="E52" s="39"/>
    </row>
  </sheetData>
  <mergeCells count="13">
    <mergeCell ref="B14:E26"/>
    <mergeCell ref="B30:E52"/>
    <mergeCell ref="B8:E8"/>
    <mergeCell ref="B9:E9"/>
    <mergeCell ref="B10:E10"/>
    <mergeCell ref="B6:C6"/>
    <mergeCell ref="B7:C7"/>
    <mergeCell ref="D5:E5"/>
    <mergeCell ref="D6:E6"/>
    <mergeCell ref="D7:E7"/>
    <mergeCell ref="B1:E1"/>
    <mergeCell ref="B3:E3"/>
    <mergeCell ref="B5:C5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DATA_DICTIONARY</vt:lpstr>
      <vt:lpstr>Raw Series</vt:lpstr>
      <vt:lpstr>Transformed Series</vt:lpstr>
      <vt:lpstr>Indices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Setser</dc:creator>
  <cp:lastModifiedBy>Andy Setser</cp:lastModifiedBy>
  <dcterms:created xsi:type="dcterms:W3CDTF">2026-06-03T17:31:33Z</dcterms:created>
  <dcterms:modified xsi:type="dcterms:W3CDTF">2026-06-03T21:27:35Z</dcterms:modified>
</cp:coreProperties>
</file>